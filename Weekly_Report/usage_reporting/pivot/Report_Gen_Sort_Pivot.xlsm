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90" windowWidth="19980" windowHeight="8070" activeTab="3"/>
  </bookViews>
  <sheets>
    <sheet name="Usage Report" sheetId="9" r:id="rId1"/>
    <sheet name="Domains" sheetId="8" r:id="rId2"/>
    <sheet name="ColOfCMDb" sheetId="7" r:id="rId3"/>
    <sheet name="v8" sheetId="2" r:id="rId4"/>
    <sheet name="Sheet3" sheetId="3" r:id="rId5"/>
    <sheet name="Sheet4" sheetId="4" r:id="rId6"/>
    <sheet name="SumOfv8" sheetId="6" r:id="rId7"/>
    <sheet name="Sheet1" sheetId="10" r:id="rId8"/>
  </sheets>
  <calcPr calcId="125725"/>
</workbook>
</file>

<file path=xl/calcChain.xml><?xml version="1.0" encoding="utf-8"?>
<calcChain xmlns="http://schemas.openxmlformats.org/spreadsheetml/2006/main">
  <c r="C1" i="8"/>
  <c r="D1"/>
  <c r="E1"/>
  <c r="F1"/>
  <c r="G1"/>
  <c r="H1"/>
  <c r="B1"/>
  <c r="C1" i="7"/>
  <c r="I1"/>
  <c r="H1"/>
  <c r="G1"/>
  <c r="F1"/>
  <c r="E1"/>
  <c r="D1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F195"/>
  <c r="F196"/>
  <c r="F197"/>
  <c r="F198"/>
  <c r="F199"/>
  <c r="F200"/>
  <c r="F201"/>
  <c r="F202"/>
  <c r="F203"/>
  <c r="F204"/>
  <c r="F205"/>
  <c r="F206"/>
  <c r="F207"/>
  <c r="F208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D206"/>
  <c r="D207"/>
  <c r="D208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168"/>
  <c r="D169"/>
  <c r="D170"/>
  <c r="D171"/>
  <c r="D172"/>
  <c r="D173"/>
  <c r="D174"/>
  <c r="D175"/>
  <c r="D176"/>
  <c r="D177"/>
  <c r="D178"/>
  <c r="D179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I3"/>
  <c r="I4"/>
  <c r="I5"/>
  <c r="I6"/>
  <c r="I7"/>
  <c r="I8"/>
  <c r="I9"/>
  <c r="I10"/>
  <c r="I11"/>
  <c r="I12"/>
  <c r="I13"/>
  <c r="I14"/>
  <c r="H21" i="8" s="1"/>
  <c r="I15" i="7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H9" i="8" s="1"/>
  <c r="I59" i="7"/>
  <c r="I60"/>
  <c r="I61"/>
  <c r="I62"/>
  <c r="I63"/>
  <c r="I64"/>
  <c r="I65"/>
  <c r="I66"/>
  <c r="I67"/>
  <c r="I68"/>
  <c r="I69"/>
  <c r="H22" i="8" s="1"/>
  <c r="I70" i="7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H20" i="8" s="1"/>
  <c r="I128" i="7"/>
  <c r="H19" i="8" s="1"/>
  <c r="I129" i="7"/>
  <c r="H18" i="8" s="1"/>
  <c r="I130" i="7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H3"/>
  <c r="H4"/>
  <c r="H5"/>
  <c r="H6"/>
  <c r="H7"/>
  <c r="H8"/>
  <c r="H9"/>
  <c r="H10"/>
  <c r="H11"/>
  <c r="H12"/>
  <c r="H13"/>
  <c r="H14"/>
  <c r="G21" i="8" s="1"/>
  <c r="H15" i="7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G22" i="8" s="1"/>
  <c r="H70" i="7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G20" i="8" s="1"/>
  <c r="H128" i="7"/>
  <c r="G19" i="8" s="1"/>
  <c r="H129" i="7"/>
  <c r="G18" i="8" s="1"/>
  <c r="H130" i="7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G3"/>
  <c r="G4"/>
  <c r="G5"/>
  <c r="G6"/>
  <c r="G7"/>
  <c r="G8"/>
  <c r="G9"/>
  <c r="G10"/>
  <c r="G11"/>
  <c r="G12"/>
  <c r="G13"/>
  <c r="G14"/>
  <c r="F21" i="8" s="1"/>
  <c r="G15" i="7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F22" i="8" s="1"/>
  <c r="G70" i="7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F20" i="8" s="1"/>
  <c r="G128" i="7"/>
  <c r="F19" i="8" s="1"/>
  <c r="G129" i="7"/>
  <c r="F18" i="8" s="1"/>
  <c r="G130" i="7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F3"/>
  <c r="F4"/>
  <c r="F5"/>
  <c r="F6"/>
  <c r="F7"/>
  <c r="F8"/>
  <c r="F9"/>
  <c r="F10"/>
  <c r="F11"/>
  <c r="F12"/>
  <c r="F13"/>
  <c r="F14"/>
  <c r="E21" i="8" s="1"/>
  <c r="F15" i="7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E9" i="8" s="1"/>
  <c r="F59" i="7"/>
  <c r="F60"/>
  <c r="F61"/>
  <c r="F62"/>
  <c r="F63"/>
  <c r="F64"/>
  <c r="F65"/>
  <c r="F66"/>
  <c r="F67"/>
  <c r="F68"/>
  <c r="F69"/>
  <c r="E22" i="8" s="1"/>
  <c r="F70" i="7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E20" i="8" s="1"/>
  <c r="F128" i="7"/>
  <c r="E19" i="8" s="1"/>
  <c r="F129" i="7"/>
  <c r="E18" i="8" s="1"/>
  <c r="F130" i="7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E3"/>
  <c r="E4"/>
  <c r="E5"/>
  <c r="E6"/>
  <c r="E7"/>
  <c r="E8"/>
  <c r="E9"/>
  <c r="E10"/>
  <c r="E11"/>
  <c r="E12"/>
  <c r="E13"/>
  <c r="E14"/>
  <c r="D21" i="8" s="1"/>
  <c r="E15" i="7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D9" i="8" s="1"/>
  <c r="E59" i="7"/>
  <c r="E60"/>
  <c r="E61"/>
  <c r="E62"/>
  <c r="E63"/>
  <c r="E64"/>
  <c r="E65"/>
  <c r="E66"/>
  <c r="E67"/>
  <c r="E68"/>
  <c r="E69"/>
  <c r="D22" i="8" s="1"/>
  <c r="E70" i="7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D20" i="8" s="1"/>
  <c r="E128" i="7"/>
  <c r="D19" i="8" s="1"/>
  <c r="E129" i="7"/>
  <c r="D18" i="8" s="1"/>
  <c r="E130" i="7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D3"/>
  <c r="D4"/>
  <c r="D5"/>
  <c r="D6"/>
  <c r="D7"/>
  <c r="D8"/>
  <c r="D9"/>
  <c r="D10"/>
  <c r="D11"/>
  <c r="D12"/>
  <c r="D13"/>
  <c r="D14"/>
  <c r="C21" i="8" s="1"/>
  <c r="D15" i="7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C22" i="8" s="1"/>
  <c r="D70" i="7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C20" i="8" s="1"/>
  <c r="D128" i="7"/>
  <c r="C19" i="8" s="1"/>
  <c r="D129" i="7"/>
  <c r="C18" i="8" s="1"/>
  <c r="D130" i="7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C3"/>
  <c r="C4"/>
  <c r="C5"/>
  <c r="C6"/>
  <c r="C7"/>
  <c r="C8"/>
  <c r="C9"/>
  <c r="C10"/>
  <c r="C11"/>
  <c r="C12"/>
  <c r="C13"/>
  <c r="C14"/>
  <c r="B21" i="8" s="1"/>
  <c r="C15" i="7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B22" i="8" s="1"/>
  <c r="C70" i="7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B20" i="8" s="1"/>
  <c r="C128" i="7"/>
  <c r="B19" i="8" s="1"/>
  <c r="C129" i="7"/>
  <c r="B18" i="8" s="1"/>
  <c r="C130" i="7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I2"/>
  <c r="I209" s="1"/>
  <c r="H167"/>
  <c r="H2"/>
  <c r="G2" i="8" s="1"/>
  <c r="G2" i="7"/>
  <c r="G209" s="1"/>
  <c r="F167"/>
  <c r="F2"/>
  <c r="E2" i="8" s="1"/>
  <c r="E2" i="7"/>
  <c r="D2"/>
  <c r="C2" i="8" s="1"/>
  <c r="C2" i="7"/>
  <c r="B2" i="8" s="1"/>
  <c r="B9" l="1"/>
  <c r="E209" i="7"/>
  <c r="B17" i="8"/>
  <c r="B16"/>
  <c r="B14"/>
  <c r="B13"/>
  <c r="B11"/>
  <c r="B10"/>
  <c r="B8"/>
  <c r="B7"/>
  <c r="B6"/>
  <c r="B4"/>
  <c r="C15"/>
  <c r="C12"/>
  <c r="C5"/>
  <c r="C3"/>
  <c r="D17"/>
  <c r="D16"/>
  <c r="D14"/>
  <c r="D13"/>
  <c r="D11"/>
  <c r="D10"/>
  <c r="D8"/>
  <c r="D7"/>
  <c r="D6"/>
  <c r="D4"/>
  <c r="E17"/>
  <c r="E16"/>
  <c r="E14"/>
  <c r="E13"/>
  <c r="E11"/>
  <c r="E10"/>
  <c r="E8"/>
  <c r="E7"/>
  <c r="E6"/>
  <c r="E4"/>
  <c r="F15"/>
  <c r="F12"/>
  <c r="F5"/>
  <c r="F3"/>
  <c r="G15"/>
  <c r="G12"/>
  <c r="G5"/>
  <c r="G3"/>
  <c r="H17"/>
  <c r="H16"/>
  <c r="H14"/>
  <c r="H13"/>
  <c r="H11"/>
  <c r="H10"/>
  <c r="H8"/>
  <c r="H7"/>
  <c r="H6"/>
  <c r="H4"/>
  <c r="B15"/>
  <c r="B12"/>
  <c r="B5"/>
  <c r="B3"/>
  <c r="C17"/>
  <c r="C16"/>
  <c r="C14"/>
  <c r="C13"/>
  <c r="C11"/>
  <c r="C10"/>
  <c r="C9"/>
  <c r="C8"/>
  <c r="C7"/>
  <c r="C6"/>
  <c r="C4"/>
  <c r="D15"/>
  <c r="D12"/>
  <c r="D5"/>
  <c r="D3"/>
  <c r="E15"/>
  <c r="E12"/>
  <c r="E5"/>
  <c r="E3"/>
  <c r="F17"/>
  <c r="F16"/>
  <c r="F14"/>
  <c r="F13"/>
  <c r="F11"/>
  <c r="F10"/>
  <c r="F9"/>
  <c r="F8"/>
  <c r="F7"/>
  <c r="F6"/>
  <c r="F4"/>
  <c r="G17"/>
  <c r="G16"/>
  <c r="G14"/>
  <c r="G13"/>
  <c r="G11"/>
  <c r="G10"/>
  <c r="G9"/>
  <c r="G8"/>
  <c r="G7"/>
  <c r="G6"/>
  <c r="G4"/>
  <c r="H15"/>
  <c r="H12"/>
  <c r="H5"/>
  <c r="H3"/>
  <c r="C209" i="7"/>
  <c r="H209"/>
  <c r="F209"/>
  <c r="D209"/>
  <c r="D2" i="8"/>
  <c r="F2"/>
  <c r="H2"/>
  <c r="G23" l="1"/>
  <c r="B23"/>
  <c r="H23"/>
  <c r="D23"/>
  <c r="F23"/>
  <c r="E23"/>
  <c r="C23"/>
</calcChain>
</file>

<file path=xl/sharedStrings.xml><?xml version="1.0" encoding="utf-8"?>
<sst xmlns="http://schemas.openxmlformats.org/spreadsheetml/2006/main" count="442" uniqueCount="233">
  <si>
    <t>BI BO BI4</t>
  </si>
  <si>
    <t>BI BO XI NON PROD</t>
  </si>
  <si>
    <t>BI BO XI PROD</t>
  </si>
  <si>
    <t>BI CBT-INFOCENTRE SHARED NON PROD</t>
  </si>
  <si>
    <t>BI DSI MUTUALISED -NON PROD</t>
  </si>
  <si>
    <t>BI DSI MUTUALISED PROD</t>
  </si>
  <si>
    <t>BI DSI MUTUALISED PROD01</t>
  </si>
  <si>
    <t>BI DSI MUTUALISED PROD02</t>
  </si>
  <si>
    <t>BI DSI MUTUALISED PROD03</t>
  </si>
  <si>
    <t>BI MON FLEETCARD</t>
  </si>
  <si>
    <t>BI MON FLEETCARD NON PROD</t>
  </si>
  <si>
    <t>BI SF - SMOK</t>
  </si>
  <si>
    <t>BNL-BACKUP SERVER</t>
  </si>
  <si>
    <t>CBT- AFARIA</t>
  </si>
  <si>
    <t>CBT- AFARIA NON PROD</t>
  </si>
  <si>
    <t>CBT-ICOPITOLE</t>
  </si>
  <si>
    <t>CBT-ICOPITOLE-NON PROD</t>
  </si>
  <si>
    <t>CBT-ICOPITOLE-SHARED NON PROD</t>
  </si>
  <si>
    <t>CBT-QUALIAC-NON PROD</t>
  </si>
  <si>
    <t>CBT-QUALIAC-SHARED NON PROD</t>
  </si>
  <si>
    <t>CRP PRO -  ARISV7 NON PROD</t>
  </si>
  <si>
    <t>CRP PRO - ARISV7 PROD</t>
  </si>
  <si>
    <t>CRP WSP -  OMEGA NON PROD</t>
  </si>
  <si>
    <t>CRP WSP - OMEGA</t>
  </si>
  <si>
    <t>DE-FORCONT FACTORY FX / IMMODB</t>
  </si>
  <si>
    <t>DE-FORCONT FACTORY FX / IMMODB NON PROD</t>
  </si>
  <si>
    <t>DE-INFRASTRUCTURE</t>
  </si>
  <si>
    <t>DE-NETBACKUP</t>
  </si>
  <si>
    <t>DE-OPENTAS</t>
  </si>
  <si>
    <t>DE-OPENTAS NON PROD</t>
  </si>
  <si>
    <t>DE-TSB 20</t>
  </si>
  <si>
    <t>EDD - ETL_BAS</t>
  </si>
  <si>
    <t>EDD - ETL_DEV</t>
  </si>
  <si>
    <t>EDD - ETL_INT</t>
  </si>
  <si>
    <t>EDD - ETL_PROD</t>
  </si>
  <si>
    <t>EDD - XFB - CFT DEV</t>
  </si>
  <si>
    <t>EDD - XFB - CFT PROD</t>
  </si>
  <si>
    <t>EDD - XFB - SG1 DEV</t>
  </si>
  <si>
    <t>EDD - XFB - SG1 PROD</t>
  </si>
  <si>
    <t>INF - BACK-UP SERVICE</t>
  </si>
  <si>
    <t>INF - EXADATA</t>
  </si>
  <si>
    <t>INF - HELIOS SERVER</t>
  </si>
  <si>
    <t>INF - P770 ADMIN</t>
  </si>
  <si>
    <t>INF - SERVICE SYS ADMIN TOOLS</t>
  </si>
  <si>
    <t>INF - VMWARE SRV</t>
  </si>
  <si>
    <t>INF - VMWARE SRV - ADMIN</t>
  </si>
  <si>
    <t>INF - VMWARE SRV áSRM - ADMIN</t>
  </si>
  <si>
    <t>LIS - ACS GIVORS SHARED</t>
  </si>
  <si>
    <t>LIS- ADD2000 NON PROD</t>
  </si>
  <si>
    <t>LIS- ADD2000 PROD</t>
  </si>
  <si>
    <t>LIS- BASEFUTS NON PROD</t>
  </si>
  <si>
    <t>LIS- BASEFUTS PROD</t>
  </si>
  <si>
    <t>LOG-OPTIMIZER</t>
  </si>
  <si>
    <t>LOG-PUNTCH SHARED</t>
  </si>
  <si>
    <t>MON-CARPRO ADMIN</t>
  </si>
  <si>
    <t>MON-CARPRO DEV/INT</t>
  </si>
  <si>
    <t>MON-CARPRO PREPROD</t>
  </si>
  <si>
    <t>MON-CARPRO PROD</t>
  </si>
  <si>
    <t>MON-COMPOSITION SIGNATURE DEV/INT</t>
  </si>
  <si>
    <t>MON-COMPOSITION SIGNATURE PROD</t>
  </si>
  <si>
    <t>MON-CRMINT DEV/INT</t>
  </si>
  <si>
    <t>MON-CRMINT PREPROD</t>
  </si>
  <si>
    <t>MON-CRMINT PROD</t>
  </si>
  <si>
    <t>REFINERY ALEXANDRIE</t>
  </si>
  <si>
    <t>REFINERY ATI</t>
  </si>
  <si>
    <t>REFINERY CREDO</t>
  </si>
  <si>
    <t>REFINERY PITAGOR</t>
  </si>
  <si>
    <t>REFINERY RBEYE</t>
  </si>
  <si>
    <t>REFINERY ROSER</t>
  </si>
  <si>
    <t>REFINERY STAR</t>
  </si>
  <si>
    <t>REFINING ATI SHARED</t>
  </si>
  <si>
    <t>REFINING CREDO NON PROD</t>
  </si>
  <si>
    <t>REFINING FORECASTED STOCKS</t>
  </si>
  <si>
    <t>REFINING MEDECO</t>
  </si>
  <si>
    <t>REFINING MEDECO NON PROD</t>
  </si>
  <si>
    <t>REFINING PITAGOR NON PROD</t>
  </si>
  <si>
    <t>REFINING PITAGOR SHARED</t>
  </si>
  <si>
    <t>REFINING SECOIA</t>
  </si>
  <si>
    <t>REFINING SECOIA NON PROD</t>
  </si>
  <si>
    <t>REFINING TOPR</t>
  </si>
  <si>
    <t>REFINING TOPR CITRIX</t>
  </si>
  <si>
    <t>REFINING TOPR NON PROD</t>
  </si>
  <si>
    <t>REFINING TRANSVERSE DEV-INT</t>
  </si>
  <si>
    <t>REFININGá FORECASTED STOCKS NON PROD</t>
  </si>
  <si>
    <t>RETAIL BBL DE</t>
  </si>
  <si>
    <t>RETAIL BBL DE NON PROD</t>
  </si>
  <si>
    <t>RETAIL G-RENTA</t>
  </si>
  <si>
    <t>RETAIL G-RENTA NON PROD</t>
  </si>
  <si>
    <t>RETAIL OPTIRENTA</t>
  </si>
  <si>
    <t>RETAIL PAPYRUS</t>
  </si>
  <si>
    <t>RETAIL PAPYRUS NON PROD</t>
  </si>
  <si>
    <t>RETAIL REMOTEWARE DE</t>
  </si>
  <si>
    <t>RETAIL REMOTEWARE DE NON PROD</t>
  </si>
  <si>
    <t>RETAIL REMOTEWARE FR</t>
  </si>
  <si>
    <t>RETAIL REMOTEWARE FR NON PROD</t>
  </si>
  <si>
    <t>SF - ACL NON PROD</t>
  </si>
  <si>
    <t>SF - ACL PROD</t>
  </si>
  <si>
    <t>SF - APAGO NON PROD</t>
  </si>
  <si>
    <t>SF - APAGO PROD</t>
  </si>
  <si>
    <t>SF - ARC</t>
  </si>
  <si>
    <t>SF - ARC FR</t>
  </si>
  <si>
    <t>SF - ARC NON PROD</t>
  </si>
  <si>
    <t>SF - CHRONOS</t>
  </si>
  <si>
    <t>SF - CHRONOS NON PROD</t>
  </si>
  <si>
    <t>SF - CRESPER NON PROD</t>
  </si>
  <si>
    <t>SF - INTRANIP</t>
  </si>
  <si>
    <t>SF - SEPIA SHARED</t>
  </si>
  <si>
    <t>SMO - SERVICE MYSOX</t>
  </si>
  <si>
    <t>SMO - SERVICE PLANIFICATION - NON PROD</t>
  </si>
  <si>
    <t>SMO - SERVICE PLANIFICATION CTLM EM 8.0</t>
  </si>
  <si>
    <t>SMO - SERVICE PLANIFICATION CTLM EM 8.0 NON PROD</t>
  </si>
  <si>
    <t>SMO - SERVICE PLANIFICATION ETL APP</t>
  </si>
  <si>
    <t>SMO - SERVICE PLANIFICATION GAZ</t>
  </si>
  <si>
    <t>SMO - SURVEILLANCE BAC</t>
  </si>
  <si>
    <t>SMO- PERFORMANCE CENTER SHARED</t>
  </si>
  <si>
    <t>SMO- PERFORMANCE CENTER SHARED NON PROD</t>
  </si>
  <si>
    <t>SMO- QUALITY CENTER NON PROD</t>
  </si>
  <si>
    <t>SUP-PUNTCH SHARED</t>
  </si>
  <si>
    <t>TELE-EXPLOITATION LIGHT</t>
  </si>
  <si>
    <t>TL GERMANY D22/I22</t>
  </si>
  <si>
    <t>TL GERMANY P22</t>
  </si>
  <si>
    <t>TL HARMONIE 1 AFR. P2J</t>
  </si>
  <si>
    <t>TL HARMONIE 1 AFR. P2J REPORTING</t>
  </si>
  <si>
    <t>TL HARMONIE AMSUD P2R</t>
  </si>
  <si>
    <t>TL HARMONIE AMSUD P2R REPORTING</t>
  </si>
  <si>
    <t>TL HARMONIE ASIE P2O</t>
  </si>
  <si>
    <t>TL HARMONIE ASIE P2O REPORTING</t>
  </si>
  <si>
    <t>TL HARMONIE C2I</t>
  </si>
  <si>
    <t>TL HARMONIE D2I I2I</t>
  </si>
  <si>
    <t>TL HARMONIE P2K</t>
  </si>
  <si>
    <t>TL HARMONIE P2K REPORTING</t>
  </si>
  <si>
    <t>TL HARMONIE Q2N X2N</t>
  </si>
  <si>
    <t>TL HARMONIE SAMDIM P2N</t>
  </si>
  <si>
    <t>TL HARMONIE SAMDIM P2N REPORTING</t>
  </si>
  <si>
    <t>TL IMPRESSION PROD</t>
  </si>
  <si>
    <t>TL SANDBOX LINUX</t>
  </si>
  <si>
    <t>TL SANDBOX SHARED</t>
  </si>
  <si>
    <t>TL SWITZERLAND+D2E/I2E/P2E</t>
  </si>
  <si>
    <t>TL TOM P29/I29/D29</t>
  </si>
  <si>
    <t>TL TSA PZ9 COCOON</t>
  </si>
  <si>
    <t>WEB MOS MSP2013</t>
  </si>
  <si>
    <t>WEB MOS MSP2013 DMZ</t>
  </si>
  <si>
    <t>WEB MOS MSP2013 NON PROD</t>
  </si>
  <si>
    <t>WEB MOSSNET</t>
  </si>
  <si>
    <t>WEB MOSSNET INT</t>
  </si>
  <si>
    <t>WEB WEBEASY</t>
  </si>
  <si>
    <t>WEB WEBEASY NON PROD</t>
  </si>
  <si>
    <t>WEB WEBKITPRO-WEBEASY INTRANET</t>
  </si>
  <si>
    <t>EDD - EAI-NON PROD</t>
  </si>
  <si>
    <t>EDD - EAI-PROD</t>
  </si>
  <si>
    <t>EDD - XFB - INTERNE - INTEGRATION</t>
  </si>
  <si>
    <t>EDD - XFB - INTERNE - PROD</t>
  </si>
  <si>
    <t>INF - PUREFLEX ADMIN</t>
  </si>
  <si>
    <t>SMO - SERVICE PLANIFICATION ERG RC DW TE CTLM EM 7.0</t>
  </si>
  <si>
    <t>SMO - SERVICE PLANIFICATION TE</t>
  </si>
  <si>
    <t>TE AGORA COCOON</t>
  </si>
  <si>
    <t>TE IMPRESSION NON PROD</t>
  </si>
  <si>
    <t>TE IMPRESSION PROD</t>
  </si>
  <si>
    <t>TE IXOS - INTEGRATION SHARED</t>
  </si>
  <si>
    <t>TE IXOS - PRODUCTION SHARED</t>
  </si>
  <si>
    <t>TE MS - DEV URGENT U3B</t>
  </si>
  <si>
    <t>TE MS - DEVELOPMENT D6B</t>
  </si>
  <si>
    <t>TE MS - PRODUCTION SYSTEM - P3B/P3G</t>
  </si>
  <si>
    <t>TE MS - QUALIFICATION SYSTEM Q6B / Q6G</t>
  </si>
  <si>
    <t>TE MS PI - EPROC - DEVELOPPEMENT DE1/DX1</t>
  </si>
  <si>
    <t>TE MS PI - EPROC- PRODUCTION PE1/PX1</t>
  </si>
  <si>
    <t>TE MS REPORTING - W3B</t>
  </si>
  <si>
    <t>TE MS SAPCONTENT</t>
  </si>
  <si>
    <t>TE SAP SOLUTION MANAGER NON PROD</t>
  </si>
  <si>
    <t>TE SAP SOLUTION MANAGER PROD</t>
  </si>
  <si>
    <t>TE TRANSVERSE - PRODUCTION</t>
  </si>
  <si>
    <t>TE TRANSVERSE - VIRSA</t>
  </si>
  <si>
    <t>TE TRANSVERSE - VIRSA NON PROD</t>
  </si>
  <si>
    <t>TE-BW-DEVELOPPEMENT D3E</t>
  </si>
  <si>
    <t>TE-BW-PRE-PRODUCTION S3E</t>
  </si>
  <si>
    <t>TE-BW-PRODUCTION P3E</t>
  </si>
  <si>
    <t>TL FIORI NW NON PROD</t>
  </si>
  <si>
    <t>TL MUTUALISED TECHNICAL PLATFORM - NON PROD</t>
  </si>
  <si>
    <t>TL MUTUALISED TECHNICAL PLATFORM - PROD</t>
  </si>
  <si>
    <t>TOTAL ERG - PRODUCTION SYSTEM - P4B/P4G</t>
  </si>
  <si>
    <t>TOTAL ERG - QUALIFICATION SYSTEM Q7B / Q7G</t>
  </si>
  <si>
    <t>TOTAL ERG BW - PREPRODUCTION Q4E</t>
  </si>
  <si>
    <t>TOTAL RC - PREPRODUCTION Q3A</t>
  </si>
  <si>
    <t>TOTAL RC - PRODUCTION P3A</t>
  </si>
  <si>
    <t>TOTAL RC - SAPCONTENT</t>
  </si>
  <si>
    <t>EDD</t>
  </si>
  <si>
    <t>INF</t>
  </si>
  <si>
    <t>WEB</t>
  </si>
  <si>
    <t>TL</t>
  </si>
  <si>
    <t>SMO</t>
  </si>
  <si>
    <t>SF</t>
  </si>
  <si>
    <t>RETAIL</t>
  </si>
  <si>
    <t>REFINING</t>
  </si>
  <si>
    <t>REFINERY</t>
  </si>
  <si>
    <t>BI</t>
  </si>
  <si>
    <t>CBT</t>
  </si>
  <si>
    <t>DE</t>
  </si>
  <si>
    <t>CRP</t>
  </si>
  <si>
    <t>LIS</t>
  </si>
  <si>
    <t>LOG</t>
  </si>
  <si>
    <t>MON</t>
  </si>
  <si>
    <t>TE</t>
  </si>
  <si>
    <t>Domains</t>
  </si>
  <si>
    <t>CMDB Applications</t>
  </si>
  <si>
    <t>TOTAL</t>
  </si>
  <si>
    <t>MISCELLANEOUS</t>
  </si>
  <si>
    <t>SUP</t>
  </si>
  <si>
    <t>TELE</t>
  </si>
  <si>
    <t>MISC</t>
  </si>
  <si>
    <t>BNL</t>
  </si>
  <si>
    <t xml:space="preserve">Control-M WEEKLY USAGE REPORT </t>
  </si>
  <si>
    <t>This is weekly Control-M Usage report which is mapped to Control-M Nodes, CMDB Applications and Control-m applications. This report is categorized in different Sections.</t>
  </si>
  <si>
    <t>TL DEMIROREN</t>
  </si>
  <si>
    <t>TL ENCO P2C COCOON</t>
  </si>
  <si>
    <t>TL ETHIOPIE PZF/XZF</t>
  </si>
  <si>
    <t>TL GAMBIE PZE/XZE</t>
  </si>
  <si>
    <t>TL HARMONIE B2K</t>
  </si>
  <si>
    <t>TL LIBERIA PZD/XZD</t>
  </si>
  <si>
    <t>TL REPORTING P2E</t>
  </si>
  <si>
    <t>TL SAUDI ARABIA PZG/XZG</t>
  </si>
  <si>
    <t>TL TURKEY P2G COCOON</t>
  </si>
  <si>
    <t>SF - SEPIA NON PROD</t>
  </si>
  <si>
    <t>RETAIL BBL FR</t>
  </si>
  <si>
    <t>REFINING STAR NON PROD</t>
  </si>
  <si>
    <t>LIS - SCIRIUS SHARED</t>
  </si>
  <si>
    <t>LIS - SCIRIUS SHARED NON PROD</t>
  </si>
  <si>
    <t>LIS- BASEFUTS NON PROD COCOON</t>
  </si>
  <si>
    <t>CRP - PPO TOOLS PROD</t>
  </si>
  <si>
    <t>TE COPIE FISCALE</t>
  </si>
  <si>
    <t>TE IXOS - INTEGRATION</t>
  </si>
  <si>
    <t>TE TRANSVERSE -TECH</t>
  </si>
  <si>
    <t>TL FIORI NW PROD</t>
  </si>
  <si>
    <t>TOTAL ERG BW - PRODUCTION P4E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</si>
</sst>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0" fillId="3" borderId="0" xfId="0" applyFill="1"/>
    <xf numFmtId="0" fontId="0" fillId="3" borderId="0" xfId="0" applyFill="1" applyBorder="1"/>
    <xf numFmtId="0" fontId="0" fillId="4" borderId="0" xfId="0" applyFill="1"/>
    <xf numFmtId="0" fontId="2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umOfv8!A1"/><Relationship Id="rId2" Type="http://schemas.openxmlformats.org/officeDocument/2006/relationships/hyperlink" Target="#Domains!A1"/><Relationship Id="rId1" Type="http://schemas.openxmlformats.org/officeDocument/2006/relationships/hyperlink" Target="#ColOfCMDb!A1"/><Relationship Id="rId4" Type="http://schemas.openxmlformats.org/officeDocument/2006/relationships/hyperlink" Target="#'v8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Usage Report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Usage Repor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8</xdr:row>
      <xdr:rowOff>171450</xdr:rowOff>
    </xdr:from>
    <xdr:to>
      <xdr:col>4</xdr:col>
      <xdr:colOff>304801</xdr:colOff>
      <xdr:row>11</xdr:row>
      <xdr:rowOff>114300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209676" y="1733550"/>
          <a:ext cx="1600200" cy="5143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2. Consolidated CMDB</a:t>
          </a:r>
          <a:r>
            <a:rPr lang="en-US" sz="1100" baseline="0"/>
            <a:t> Utilization</a:t>
          </a:r>
          <a:endParaRPr lang="en-US" sz="1100"/>
        </a:p>
      </xdr:txBody>
    </xdr:sp>
    <xdr:clientData/>
  </xdr:twoCellAnchor>
  <xdr:twoCellAnchor>
    <xdr:from>
      <xdr:col>2</xdr:col>
      <xdr:colOff>19050</xdr:colOff>
      <xdr:row>6</xdr:row>
      <xdr:rowOff>38100</xdr:rowOff>
    </xdr:from>
    <xdr:to>
      <xdr:col>4</xdr:col>
      <xdr:colOff>304800</xdr:colOff>
      <xdr:row>8</xdr:row>
      <xdr:rowOff>28575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209675" y="1409700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1. Domain Utilization</a:t>
          </a:r>
        </a:p>
      </xdr:txBody>
    </xdr:sp>
    <xdr:clientData/>
  </xdr:twoCellAnchor>
  <xdr:twoCellAnchor>
    <xdr:from>
      <xdr:col>2</xdr:col>
      <xdr:colOff>28575</xdr:colOff>
      <xdr:row>12</xdr:row>
      <xdr:rowOff>95250</xdr:rowOff>
    </xdr:from>
    <xdr:to>
      <xdr:col>4</xdr:col>
      <xdr:colOff>314325</xdr:colOff>
      <xdr:row>14</xdr:row>
      <xdr:rowOff>85725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1219200" y="2419350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3. CMDB Utilization v8</a:t>
          </a:r>
        </a:p>
      </xdr:txBody>
    </xdr:sp>
    <xdr:clientData/>
  </xdr:twoCellAnchor>
  <xdr:twoCellAnchor>
    <xdr:from>
      <xdr:col>2</xdr:col>
      <xdr:colOff>9525</xdr:colOff>
      <xdr:row>15</xdr:row>
      <xdr:rowOff>123825</xdr:rowOff>
    </xdr:from>
    <xdr:to>
      <xdr:col>4</xdr:col>
      <xdr:colOff>314325</xdr:colOff>
      <xdr:row>18</xdr:row>
      <xdr:rowOff>38100</xdr:rowOff>
    </xdr:to>
    <xdr:sp macro="" textlink="">
      <xdr:nvSpPr>
        <xdr:cNvPr id="9" name="Rounded Rectangle 8">
          <a:hlinkClick xmlns:r="http://schemas.openxmlformats.org/officeDocument/2006/relationships" r:id="rId4"/>
        </xdr:cNvPr>
        <xdr:cNvSpPr/>
      </xdr:nvSpPr>
      <xdr:spPr>
        <a:xfrm>
          <a:off x="1200150" y="3019425"/>
          <a:ext cx="1619250" cy="4857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4. Control-m</a:t>
          </a:r>
          <a:r>
            <a:rPr lang="en-US" sz="1100" baseline="0"/>
            <a:t> / CMDB</a:t>
          </a:r>
          <a:r>
            <a:rPr lang="en-US" sz="1100"/>
            <a:t> Utilization 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438149</xdr:colOff>
      <xdr:row>0</xdr:row>
      <xdr:rowOff>161925</xdr:rowOff>
    </xdr:from>
    <xdr:to>
      <xdr:col>10</xdr:col>
      <xdr:colOff>600074</xdr:colOff>
      <xdr:row>5</xdr:row>
      <xdr:rowOff>133350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9896474" y="161925"/>
          <a:ext cx="1381125" cy="923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USAGE REPORT</a:t>
          </a:r>
          <a:r>
            <a:rPr lang="en-US" sz="1100" baseline="0"/>
            <a:t> 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156482</xdr:colOff>
      <xdr:row>5</xdr:row>
      <xdr:rowOff>161925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3430250" y="190500"/>
          <a:ext cx="1381125" cy="923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USAGE REPORT</a:t>
          </a:r>
          <a:r>
            <a:rPr lang="en-US" sz="1100" baseline="0"/>
            <a:t> 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L25"/>
  <sheetViews>
    <sheetView zoomScaleNormal="100" workbookViewId="0">
      <selection activeCell="K18" sqref="K18"/>
    </sheetView>
  </sheetViews>
  <sheetFormatPr defaultColWidth="0" defaultRowHeight="15" zeroHeight="1"/>
  <cols>
    <col min="1" max="1" width="9.140625" style="8" customWidth="1"/>
    <col min="2" max="2" width="8.7109375" style="8" customWidth="1"/>
    <col min="3" max="3" width="10.5703125" style="8" customWidth="1"/>
    <col min="4" max="4" width="9.140625" style="8" customWidth="1"/>
    <col min="5" max="5" width="11.7109375" style="8" customWidth="1"/>
    <col min="6" max="6" width="18.5703125" style="8" customWidth="1"/>
    <col min="7" max="10" width="9.140625" style="8" customWidth="1"/>
    <col min="11" max="11" width="12.28515625" style="8" customWidth="1"/>
    <col min="12" max="12" width="9.140625" style="8" customWidth="1"/>
    <col min="13" max="16384" width="9.140625" style="8" hidden="1"/>
  </cols>
  <sheetData>
    <row r="1" spans="1:1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18">
      <c r="A2" s="9"/>
      <c r="B2" s="9"/>
      <c r="C2" s="11" t="s">
        <v>210</v>
      </c>
      <c r="D2" s="11"/>
      <c r="E2" s="11"/>
      <c r="F2" s="11"/>
      <c r="G2" s="9"/>
      <c r="H2" s="9"/>
      <c r="I2" s="9"/>
      <c r="J2" s="9"/>
      <c r="K2" s="9"/>
      <c r="L2" s="9"/>
    </row>
    <row r="3" spans="1:12" ht="15" customHeight="1">
      <c r="A3" s="9"/>
      <c r="B3" s="9"/>
      <c r="C3" s="12" t="s">
        <v>211</v>
      </c>
      <c r="D3" s="12"/>
      <c r="E3" s="12"/>
      <c r="F3" s="12"/>
      <c r="G3" s="12"/>
      <c r="H3" s="12"/>
      <c r="I3" s="12"/>
      <c r="J3" s="12"/>
      <c r="K3" s="12"/>
      <c r="L3" s="9"/>
    </row>
    <row r="4" spans="1:12">
      <c r="A4" s="9"/>
      <c r="B4" s="9"/>
      <c r="C4" s="12"/>
      <c r="D4" s="12"/>
      <c r="E4" s="12"/>
      <c r="F4" s="12"/>
      <c r="G4" s="12"/>
      <c r="H4" s="12"/>
      <c r="I4" s="12"/>
      <c r="J4" s="12"/>
      <c r="K4" s="12"/>
      <c r="L4" s="9"/>
    </row>
    <row r="5" spans="1:12">
      <c r="A5" s="9"/>
      <c r="B5" s="9"/>
      <c r="C5" s="12"/>
      <c r="D5" s="12"/>
      <c r="E5" s="12"/>
      <c r="F5" s="12"/>
      <c r="G5" s="12"/>
      <c r="H5" s="12"/>
      <c r="I5" s="12"/>
      <c r="J5" s="12"/>
      <c r="K5" s="12"/>
      <c r="L5" s="9"/>
    </row>
    <row r="6" spans="1:1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</row>
    <row r="12" spans="1:1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1:1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1:1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1:1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1:1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1:1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</row>
    <row r="23" spans="1:1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  <row r="24" spans="1:1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</row>
    <row r="25" spans="1:1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</row>
  </sheetData>
  <mergeCells count="2">
    <mergeCell ref="C2:F2"/>
    <mergeCell ref="C3:K5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23"/>
  <sheetViews>
    <sheetView workbookViewId="0">
      <selection activeCell="H1" sqref="H1"/>
    </sheetView>
  </sheetViews>
  <sheetFormatPr defaultRowHeight="15"/>
  <cols>
    <col min="1" max="1" width="12.85546875" customWidth="1"/>
    <col min="2" max="8" width="18.42578125" customWidth="1"/>
  </cols>
  <sheetData>
    <row r="1" spans="1:8">
      <c r="A1" s="4" t="s">
        <v>202</v>
      </c>
      <c r="B1" s="5">
        <f>'v8'!D2</f>
        <v>0</v>
      </c>
      <c r="C1" s="5">
        <f>'v8'!E2</f>
        <v>0</v>
      </c>
      <c r="D1" s="5">
        <f>'v8'!F2</f>
        <v>0</v>
      </c>
      <c r="E1" s="5">
        <f>'v8'!G2</f>
        <v>0</v>
      </c>
      <c r="F1" s="5">
        <f>'v8'!H2</f>
        <v>0</v>
      </c>
      <c r="G1" s="5">
        <f>'v8'!I2</f>
        <v>0</v>
      </c>
      <c r="H1" s="5">
        <f>'v8'!J2</f>
        <v>0</v>
      </c>
    </row>
    <row r="2" spans="1:8">
      <c r="A2" t="s">
        <v>194</v>
      </c>
      <c r="B2">
        <f>SUMIF(ColOfCMDb!$A$2:$A$208,Domains!A2,ColOfCMDb!$C$2:$C$208)</f>
        <v>0</v>
      </c>
      <c r="C2">
        <f>SUMIF(ColOfCMDb!$A$2:$A$208,Domains!A2,ColOfCMDb!$D$2:$D$208)</f>
        <v>0</v>
      </c>
      <c r="D2">
        <f>SUMIF(ColOfCMDb!$A$2:$A$208,Domains!A2,ColOfCMDb!$E$2:$E$208)</f>
        <v>0</v>
      </c>
      <c r="E2">
        <f>SUMIF(ColOfCMDb!$A$2:$A$208,Domains!A2,ColOfCMDb!$F$2:$F$208)</f>
        <v>0</v>
      </c>
      <c r="F2">
        <f>SUMIF(ColOfCMDb!$A$2:$A$208,Domains!A2,ColOfCMDb!$G$2:$G$208)</f>
        <v>0</v>
      </c>
      <c r="G2">
        <f>SUMIF(ColOfCMDb!$A$2:$A$208,Domains!A2,ColOfCMDb!$H$2:$H$208)</f>
        <v>0</v>
      </c>
      <c r="H2">
        <f>SUMIF(ColOfCMDb!$A$2:$A$208,Domains!A2,ColOfCMDb!$I$2:$I$208)</f>
        <v>0</v>
      </c>
    </row>
    <row r="3" spans="1:8">
      <c r="A3" t="s">
        <v>195</v>
      </c>
      <c r="B3">
        <f>SUMIF(ColOfCMDb!$A$2:$A$208,Domains!A3,ColOfCMDb!$C$2:$C$208)</f>
        <v>0</v>
      </c>
      <c r="C3">
        <f>SUMIF(ColOfCMDb!$A$2:$A$208,Domains!A3,ColOfCMDb!$D$2:$D$208)</f>
        <v>0</v>
      </c>
      <c r="D3">
        <f>SUMIF(ColOfCMDb!$A$2:$A$208,Domains!A3,ColOfCMDb!$E$2:$E$208)</f>
        <v>0</v>
      </c>
      <c r="E3">
        <f>SUMIF(ColOfCMDb!$A$2:$A$208,Domains!A3,ColOfCMDb!$F$2:$F$208)</f>
        <v>0</v>
      </c>
      <c r="F3">
        <f>SUMIF(ColOfCMDb!$A$2:$A$208,Domains!A3,ColOfCMDb!$G$2:$G$208)</f>
        <v>0</v>
      </c>
      <c r="G3">
        <f>SUMIF(ColOfCMDb!$A$2:$A$208,Domains!A3,ColOfCMDb!$H$2:$H$208)</f>
        <v>0</v>
      </c>
      <c r="H3">
        <f>SUMIF(ColOfCMDb!$A$2:$A$208,Domains!A3,ColOfCMDb!$I$2:$I$208)</f>
        <v>0</v>
      </c>
    </row>
    <row r="4" spans="1:8">
      <c r="A4" t="s">
        <v>197</v>
      </c>
      <c r="B4">
        <f>SUMIF(ColOfCMDb!$A$2:$A$208,Domains!A4,ColOfCMDb!$C$2:$C$208)</f>
        <v>0</v>
      </c>
      <c r="C4">
        <f>SUMIF(ColOfCMDb!$A$2:$A$208,Domains!A4,ColOfCMDb!$D$2:$D$208)</f>
        <v>0</v>
      </c>
      <c r="D4">
        <f>SUMIF(ColOfCMDb!$A$2:$A$208,Domains!A4,ColOfCMDb!$E$2:$E$208)</f>
        <v>0</v>
      </c>
      <c r="E4">
        <f>SUMIF(ColOfCMDb!$A$2:$A$208,Domains!A4,ColOfCMDb!$F$2:$F$208)</f>
        <v>0</v>
      </c>
      <c r="F4">
        <f>SUMIF(ColOfCMDb!$A$2:$A$208,Domains!A4,ColOfCMDb!$G$2:$G$208)</f>
        <v>0</v>
      </c>
      <c r="G4">
        <f>SUMIF(ColOfCMDb!$A$2:$A$208,Domains!A4,ColOfCMDb!$H$2:$H$208)</f>
        <v>0</v>
      </c>
      <c r="H4">
        <f>SUMIF(ColOfCMDb!$A$2:$A$208,Domains!A4,ColOfCMDb!$I$2:$I$208)</f>
        <v>0</v>
      </c>
    </row>
    <row r="5" spans="1:8">
      <c r="A5" t="s">
        <v>196</v>
      </c>
      <c r="B5">
        <f>SUMIF(ColOfCMDb!$A$2:$A$208,Domains!A5,ColOfCMDb!$C$2:$C$208)</f>
        <v>0</v>
      </c>
      <c r="C5">
        <f>SUMIF(ColOfCMDb!$A$2:$A$208,Domains!A5,ColOfCMDb!$D$2:$D$208)</f>
        <v>0</v>
      </c>
      <c r="D5">
        <f>SUMIF(ColOfCMDb!$A$2:$A$208,Domains!A5,ColOfCMDb!$E$2:$E$208)</f>
        <v>0</v>
      </c>
      <c r="E5">
        <f>SUMIF(ColOfCMDb!$A$2:$A$208,Domains!A5,ColOfCMDb!$F$2:$F$208)</f>
        <v>0</v>
      </c>
      <c r="F5">
        <f>SUMIF(ColOfCMDb!$A$2:$A$208,Domains!A5,ColOfCMDb!$G$2:$G$208)</f>
        <v>0</v>
      </c>
      <c r="G5">
        <f>SUMIF(ColOfCMDb!$A$2:$A$208,Domains!A5,ColOfCMDb!$H$2:$H$208)</f>
        <v>0</v>
      </c>
      <c r="H5">
        <f>SUMIF(ColOfCMDb!$A$2:$A$208,Domains!A5,ColOfCMDb!$I$2:$I$208)</f>
        <v>0</v>
      </c>
    </row>
    <row r="6" spans="1:8">
      <c r="A6" t="s">
        <v>185</v>
      </c>
      <c r="B6">
        <f>SUMIF(ColOfCMDb!$A$2:$A$208,Domains!A6,ColOfCMDb!$C$2:$C$208)</f>
        <v>0</v>
      </c>
      <c r="C6">
        <f>SUMIF(ColOfCMDb!$A$2:$A$208,Domains!A6,ColOfCMDb!$D$2:$D$208)</f>
        <v>0</v>
      </c>
      <c r="D6">
        <f>SUMIF(ColOfCMDb!$A$2:$A$208,Domains!A6,ColOfCMDb!$E$2:$E$208)</f>
        <v>0</v>
      </c>
      <c r="E6">
        <f>SUMIF(ColOfCMDb!$A$2:$A$208,Domains!A6,ColOfCMDb!$F$2:$F$208)</f>
        <v>0</v>
      </c>
      <c r="F6">
        <f>SUMIF(ColOfCMDb!$A$2:$A$208,Domains!A6,ColOfCMDb!$G$2:$G$208)</f>
        <v>0</v>
      </c>
      <c r="G6">
        <f>SUMIF(ColOfCMDb!$A$2:$A$208,Domains!A6,ColOfCMDb!$H$2:$H$208)</f>
        <v>0</v>
      </c>
      <c r="H6">
        <f>SUMIF(ColOfCMDb!$A$2:$A$208,Domains!A6,ColOfCMDb!$I$2:$I$208)</f>
        <v>0</v>
      </c>
    </row>
    <row r="7" spans="1:8">
      <c r="A7" t="s">
        <v>186</v>
      </c>
      <c r="B7">
        <f>SUMIF(ColOfCMDb!$A$2:$A$208,Domains!A7,ColOfCMDb!$C$2:$C$208)</f>
        <v>0</v>
      </c>
      <c r="C7">
        <f>SUMIF(ColOfCMDb!$A$2:$A$208,Domains!A7,ColOfCMDb!$D$2:$D$208)</f>
        <v>0</v>
      </c>
      <c r="D7">
        <f>SUMIF(ColOfCMDb!$A$2:$A$208,Domains!A7,ColOfCMDb!$E$2:$E$208)</f>
        <v>0</v>
      </c>
      <c r="E7">
        <f>SUMIF(ColOfCMDb!$A$2:$A$208,Domains!A7,ColOfCMDb!$F$2:$F$208)</f>
        <v>0</v>
      </c>
      <c r="F7">
        <f>SUMIF(ColOfCMDb!$A$2:$A$208,Domains!A7,ColOfCMDb!$G$2:$G$208)</f>
        <v>0</v>
      </c>
      <c r="G7">
        <f>SUMIF(ColOfCMDb!$A$2:$A$208,Domains!A7,ColOfCMDb!$H$2:$H$208)</f>
        <v>0</v>
      </c>
      <c r="H7">
        <f>SUMIF(ColOfCMDb!$A$2:$A$208,Domains!A7,ColOfCMDb!$I$2:$I$208)</f>
        <v>0</v>
      </c>
    </row>
    <row r="8" spans="1:8">
      <c r="A8" t="s">
        <v>198</v>
      </c>
      <c r="B8">
        <f>SUMIF(ColOfCMDb!$A$2:$A$208,Domains!A8,ColOfCMDb!$C$2:$C$208)</f>
        <v>0</v>
      </c>
      <c r="C8">
        <f>SUMIF(ColOfCMDb!$A$2:$A$208,Domains!A8,ColOfCMDb!$D$2:$D$208)</f>
        <v>0</v>
      </c>
      <c r="D8">
        <f>SUMIF(ColOfCMDb!$A$2:$A$208,Domains!A8,ColOfCMDb!$E$2:$E$208)</f>
        <v>0</v>
      </c>
      <c r="E8">
        <f>SUMIF(ColOfCMDb!$A$2:$A$208,Domains!A8,ColOfCMDb!$F$2:$F$208)</f>
        <v>0</v>
      </c>
      <c r="F8">
        <f>SUMIF(ColOfCMDb!$A$2:$A$208,Domains!A8,ColOfCMDb!$G$2:$G$208)</f>
        <v>0</v>
      </c>
      <c r="G8">
        <f>SUMIF(ColOfCMDb!$A$2:$A$208,Domains!A8,ColOfCMDb!$H$2:$H$208)</f>
        <v>0</v>
      </c>
      <c r="H8">
        <f>SUMIF(ColOfCMDb!$A$2:$A$208,Domains!A8,ColOfCMDb!$I$2:$I$208)</f>
        <v>0</v>
      </c>
    </row>
    <row r="9" spans="1:8">
      <c r="A9" t="s">
        <v>199</v>
      </c>
      <c r="B9">
        <f>SUMIF(ColOfCMDb!$A$2:$A$208,Domains!A9,ColOfCMDb!$C$2:$C$208)</f>
        <v>0</v>
      </c>
      <c r="C9">
        <f>SUMIF(ColOfCMDb!$A$2:$A$208,Domains!A9,ColOfCMDb!$D$2:$D$208)</f>
        <v>0</v>
      </c>
      <c r="D9">
        <f>SUMIF(ColOfCMDb!$A$2:$A$208,Domains!A9,ColOfCMDb!$E$2:$E$208)</f>
        <v>0</v>
      </c>
      <c r="E9">
        <f>SUMIF(ColOfCMDb!$A$2:$A$208,Domains!A9,ColOfCMDb!$F$2:$F$208)</f>
        <v>0</v>
      </c>
      <c r="F9">
        <f>SUMIF(ColOfCMDb!$A$2:$A$208,Domains!A9,ColOfCMDb!$G$2:$G$208)</f>
        <v>0</v>
      </c>
      <c r="G9">
        <f>SUMIF(ColOfCMDb!$A$2:$A$208,Domains!A9,ColOfCMDb!$H$2:$H$208)</f>
        <v>0</v>
      </c>
      <c r="H9">
        <f>SUMIF(ColOfCMDb!$A$2:$A$208,Domains!A9,ColOfCMDb!$I$2:$I$208)</f>
        <v>0</v>
      </c>
    </row>
    <row r="10" spans="1:8">
      <c r="A10" t="s">
        <v>200</v>
      </c>
      <c r="B10">
        <f>SUMIF(ColOfCMDb!$A$2:$A$208,Domains!A10,ColOfCMDb!$C$2:$C$208)</f>
        <v>0</v>
      </c>
      <c r="C10">
        <f>SUMIF(ColOfCMDb!$A$2:$A$208,Domains!A10,ColOfCMDb!$D$2:$D$208)</f>
        <v>0</v>
      </c>
      <c r="D10">
        <f>SUMIF(ColOfCMDb!$A$2:$A$208,Domains!A10,ColOfCMDb!$E$2:$E$208)</f>
        <v>0</v>
      </c>
      <c r="E10">
        <f>SUMIF(ColOfCMDb!$A$2:$A$208,Domains!A10,ColOfCMDb!$F$2:$F$208)</f>
        <v>0</v>
      </c>
      <c r="F10">
        <f>SUMIF(ColOfCMDb!$A$2:$A$208,Domains!A10,ColOfCMDb!$G$2:$G$208)</f>
        <v>0</v>
      </c>
      <c r="G10">
        <f>SUMIF(ColOfCMDb!$A$2:$A$208,Domains!A10,ColOfCMDb!$H$2:$H$208)</f>
        <v>0</v>
      </c>
      <c r="H10">
        <f>SUMIF(ColOfCMDb!$A$2:$A$208,Domains!A10,ColOfCMDb!$I$2:$I$208)</f>
        <v>0</v>
      </c>
    </row>
    <row r="11" spans="1:8">
      <c r="A11" t="s">
        <v>193</v>
      </c>
      <c r="B11">
        <f>SUMIF(ColOfCMDb!$A$2:$A$208,Domains!A11,ColOfCMDb!$C$2:$C$208)</f>
        <v>0</v>
      </c>
      <c r="C11">
        <f>SUMIF(ColOfCMDb!$A$2:$A$208,Domains!A11,ColOfCMDb!$D$2:$D$208)</f>
        <v>0</v>
      </c>
      <c r="D11">
        <f>SUMIF(ColOfCMDb!$A$2:$A$208,Domains!A11,ColOfCMDb!$E$2:$E$208)</f>
        <v>0</v>
      </c>
      <c r="E11">
        <f>SUMIF(ColOfCMDb!$A$2:$A$208,Domains!A11,ColOfCMDb!$F$2:$F$208)</f>
        <v>0</v>
      </c>
      <c r="F11">
        <f>SUMIF(ColOfCMDb!$A$2:$A$208,Domains!A11,ColOfCMDb!$G$2:$G$208)</f>
        <v>0</v>
      </c>
      <c r="G11">
        <f>SUMIF(ColOfCMDb!$A$2:$A$208,Domains!A11,ColOfCMDb!$H$2:$H$208)</f>
        <v>0</v>
      </c>
      <c r="H11">
        <f>SUMIF(ColOfCMDb!$A$2:$A$208,Domains!A11,ColOfCMDb!$I$2:$I$208)</f>
        <v>0</v>
      </c>
    </row>
    <row r="12" spans="1:8">
      <c r="A12" t="s">
        <v>192</v>
      </c>
      <c r="B12">
        <f>SUMIF(ColOfCMDb!$A$2:$A$208,Domains!A12,ColOfCMDb!$C$2:$C$208)</f>
        <v>0</v>
      </c>
      <c r="C12">
        <f>SUMIF(ColOfCMDb!$A$2:$A$208,Domains!A12,ColOfCMDb!$D$2:$D$208)</f>
        <v>0</v>
      </c>
      <c r="D12">
        <f>SUMIF(ColOfCMDb!$A$2:$A$208,Domains!A12,ColOfCMDb!$E$2:$E$208)</f>
        <v>0</v>
      </c>
      <c r="E12">
        <f>SUMIF(ColOfCMDb!$A$2:$A$208,Domains!A12,ColOfCMDb!$F$2:$F$208)</f>
        <v>0</v>
      </c>
      <c r="F12">
        <f>SUMIF(ColOfCMDb!$A$2:$A$208,Domains!A12,ColOfCMDb!$G$2:$G$208)</f>
        <v>0</v>
      </c>
      <c r="G12">
        <f>SUMIF(ColOfCMDb!$A$2:$A$208,Domains!A12,ColOfCMDb!$H$2:$H$208)</f>
        <v>0</v>
      </c>
      <c r="H12">
        <f>SUMIF(ColOfCMDb!$A$2:$A$208,Domains!A12,ColOfCMDb!$I$2:$I$208)</f>
        <v>0</v>
      </c>
    </row>
    <row r="13" spans="1:8">
      <c r="A13" t="s">
        <v>191</v>
      </c>
      <c r="B13">
        <f>SUMIF(ColOfCMDb!$A$2:$A$208,Domains!A13,ColOfCMDb!$C$2:$C$208)</f>
        <v>0</v>
      </c>
      <c r="C13">
        <f>SUMIF(ColOfCMDb!$A$2:$A$208,Domains!A13,ColOfCMDb!$D$2:$D$208)</f>
        <v>0</v>
      </c>
      <c r="D13">
        <f>SUMIF(ColOfCMDb!$A$2:$A$208,Domains!A13,ColOfCMDb!$E$2:$E$208)</f>
        <v>0</v>
      </c>
      <c r="E13">
        <f>SUMIF(ColOfCMDb!$A$2:$A$208,Domains!A13,ColOfCMDb!$F$2:$F$208)</f>
        <v>0</v>
      </c>
      <c r="F13">
        <f>SUMIF(ColOfCMDb!$A$2:$A$208,Domains!A13,ColOfCMDb!$G$2:$G$208)</f>
        <v>0</v>
      </c>
      <c r="G13">
        <f>SUMIF(ColOfCMDb!$A$2:$A$208,Domains!A13,ColOfCMDb!$H$2:$H$208)</f>
        <v>0</v>
      </c>
      <c r="H13">
        <f>SUMIF(ColOfCMDb!$A$2:$A$208,Domains!A13,ColOfCMDb!$I$2:$I$208)</f>
        <v>0</v>
      </c>
    </row>
    <row r="14" spans="1:8">
      <c r="A14" t="s">
        <v>190</v>
      </c>
      <c r="B14">
        <f>SUMIF(ColOfCMDb!$A$2:$A$208,Domains!A14,ColOfCMDb!$C$2:$C$208)</f>
        <v>0</v>
      </c>
      <c r="C14">
        <f>SUMIF(ColOfCMDb!$A$2:$A$208,Domains!A14,ColOfCMDb!$D$2:$D$208)</f>
        <v>0</v>
      </c>
      <c r="D14">
        <f>SUMIF(ColOfCMDb!$A$2:$A$208,Domains!A14,ColOfCMDb!$E$2:$E$208)</f>
        <v>0</v>
      </c>
      <c r="E14">
        <f>SUMIF(ColOfCMDb!$A$2:$A$208,Domains!A14,ColOfCMDb!$F$2:$F$208)</f>
        <v>0</v>
      </c>
      <c r="F14">
        <f>SUMIF(ColOfCMDb!$A$2:$A$208,Domains!A14,ColOfCMDb!$G$2:$G$208)</f>
        <v>0</v>
      </c>
      <c r="G14">
        <f>SUMIF(ColOfCMDb!$A$2:$A$208,Domains!A14,ColOfCMDb!$H$2:$H$208)</f>
        <v>0</v>
      </c>
      <c r="H14">
        <f>SUMIF(ColOfCMDb!$A$2:$A$208,Domains!A14,ColOfCMDb!$I$2:$I$208)</f>
        <v>0</v>
      </c>
    </row>
    <row r="15" spans="1:8">
      <c r="A15" t="s">
        <v>189</v>
      </c>
      <c r="B15">
        <f>SUMIF(ColOfCMDb!$A$2:$A$208,Domains!A15,ColOfCMDb!$C$2:$C$208)</f>
        <v>0</v>
      </c>
      <c r="C15">
        <f>SUMIF(ColOfCMDb!$A$2:$A$208,Domains!A15,ColOfCMDb!$D$2:$D$208)</f>
        <v>0</v>
      </c>
      <c r="D15">
        <f>SUMIF(ColOfCMDb!$A$2:$A$208,Domains!A15,ColOfCMDb!$E$2:$E$208)</f>
        <v>0</v>
      </c>
      <c r="E15">
        <f>SUMIF(ColOfCMDb!$A$2:$A$208,Domains!A15,ColOfCMDb!$F$2:$F$208)</f>
        <v>0</v>
      </c>
      <c r="F15">
        <f>SUMIF(ColOfCMDb!$A$2:$A$208,Domains!A15,ColOfCMDb!$G$2:$G$208)</f>
        <v>0</v>
      </c>
      <c r="G15">
        <f>SUMIF(ColOfCMDb!$A$2:$A$208,Domains!A15,ColOfCMDb!$H$2:$H$208)</f>
        <v>0</v>
      </c>
      <c r="H15">
        <f>SUMIF(ColOfCMDb!$A$2:$A$208,Domains!A15,ColOfCMDb!$I$2:$I$208)</f>
        <v>0</v>
      </c>
    </row>
    <row r="16" spans="1:8">
      <c r="A16" t="s">
        <v>188</v>
      </c>
      <c r="B16">
        <f>SUMIF(ColOfCMDb!$A$2:$A$208,Domains!A16,ColOfCMDb!$C$2:$C$208)</f>
        <v>0</v>
      </c>
      <c r="C16">
        <f>SUMIF(ColOfCMDb!$A$2:$A$208,Domains!A16,ColOfCMDb!$D$2:$D$208)</f>
        <v>0</v>
      </c>
      <c r="D16">
        <f>SUMIF(ColOfCMDb!$A$2:$A$208,Domains!A16,ColOfCMDb!$E$2:$E$208)</f>
        <v>0</v>
      </c>
      <c r="E16">
        <f>SUMIF(ColOfCMDb!$A$2:$A$208,Domains!A16,ColOfCMDb!$F$2:$F$208)</f>
        <v>0</v>
      </c>
      <c r="F16">
        <f>SUMIF(ColOfCMDb!$A$2:$A$208,Domains!A16,ColOfCMDb!$G$2:$G$208)</f>
        <v>0</v>
      </c>
      <c r="G16">
        <f>SUMIF(ColOfCMDb!$A$2:$A$208,Domains!A16,ColOfCMDb!$H$2:$H$208)</f>
        <v>0</v>
      </c>
      <c r="H16">
        <f>SUMIF(ColOfCMDb!$A$2:$A$208,Domains!A16,ColOfCMDb!$I$2:$I$208)</f>
        <v>0</v>
      </c>
    </row>
    <row r="17" spans="1:8">
      <c r="A17" t="s">
        <v>187</v>
      </c>
      <c r="B17">
        <f>SUMIF(ColOfCMDb!$A$2:$A$208,Domains!A17,ColOfCMDb!$C$2:$C$208)</f>
        <v>0</v>
      </c>
      <c r="C17">
        <f>SUMIF(ColOfCMDb!$A$2:$A$208,Domains!A17,ColOfCMDb!$D$2:$D$208)</f>
        <v>0</v>
      </c>
      <c r="D17">
        <f>SUMIF(ColOfCMDb!$A$2:$A$208,Domains!A17,ColOfCMDb!$E$2:$E$208)</f>
        <v>0</v>
      </c>
      <c r="E17">
        <f>SUMIF(ColOfCMDb!$A$2:$A$208,Domains!A17,ColOfCMDb!$F$2:$F$208)</f>
        <v>0</v>
      </c>
      <c r="F17">
        <f>SUMIF(ColOfCMDb!$A$2:$A$208,Domains!A17,ColOfCMDb!$G$2:$G$208)</f>
        <v>0</v>
      </c>
      <c r="G17">
        <f>SUMIF(ColOfCMDb!$A$2:$A$208,Domains!A17,ColOfCMDb!$H$2:$H$208)</f>
        <v>0</v>
      </c>
      <c r="H17">
        <f>SUMIF(ColOfCMDb!$A$2:$A$208,Domains!A17,ColOfCMDb!$I$2:$I$208)</f>
        <v>0</v>
      </c>
    </row>
    <row r="18" spans="1:8">
      <c r="A18" t="s">
        <v>201</v>
      </c>
      <c r="B18">
        <f>SUMIF(ColOfCMDb!$A$2:$A$208,Domains!A18,ColOfCMDb!$C$2:$C$208)</f>
        <v>0</v>
      </c>
      <c r="C18">
        <f>SUMIF(ColOfCMDb!$A$2:$A$208,Domains!A18,ColOfCMDb!$D$2:$D$208)</f>
        <v>0</v>
      </c>
      <c r="D18">
        <f>SUMIF(ColOfCMDb!$A$2:$A$208,Domains!A18,ColOfCMDb!$E$2:$E$208)</f>
        <v>0</v>
      </c>
      <c r="E18">
        <f>SUMIF(ColOfCMDb!$A$2:$A$208,Domains!A18,ColOfCMDb!$F$2:$F$208)</f>
        <v>0</v>
      </c>
      <c r="F18">
        <f>SUMIF(ColOfCMDb!$A$2:$A$208,Domains!A18,ColOfCMDb!$G$2:$G$208)</f>
        <v>0</v>
      </c>
      <c r="G18">
        <f>SUMIF(ColOfCMDb!$A$2:$A$208,Domains!A18,ColOfCMDb!$H$2:$H$208)</f>
        <v>0</v>
      </c>
      <c r="H18">
        <f>SUMIF(ColOfCMDb!$A$2:$A$208,Domains!A18,ColOfCMDb!$I$2:$I$208)</f>
        <v>0</v>
      </c>
    </row>
    <row r="19" spans="1:8">
      <c r="A19" t="s">
        <v>207</v>
      </c>
      <c r="B19">
        <f>SUMIF(ColOfCMDb!$A$2:$A$208,Domains!A19,ColOfCMDb!$C$2:$C$208)</f>
        <v>0</v>
      </c>
      <c r="C19">
        <f>SUMIF(ColOfCMDb!$A$2:$A$208,Domains!A19,ColOfCMDb!$D$2:$D$208)</f>
        <v>0</v>
      </c>
      <c r="D19">
        <f>SUMIF(ColOfCMDb!$A$2:$A$208,Domains!A19,ColOfCMDb!$E$2:$E$208)</f>
        <v>0</v>
      </c>
      <c r="E19">
        <f>SUMIF(ColOfCMDb!$A$2:$A$208,Domains!A19,ColOfCMDb!$F$2:$F$208)</f>
        <v>0</v>
      </c>
      <c r="F19">
        <f>SUMIF(ColOfCMDb!$A$2:$A$208,Domains!A19,ColOfCMDb!$G$2:$G$208)</f>
        <v>0</v>
      </c>
      <c r="G19">
        <f>SUMIF(ColOfCMDb!$A$2:$A$208,Domains!A19,ColOfCMDb!$H$2:$H$208)</f>
        <v>0</v>
      </c>
      <c r="H19">
        <f>SUMIF(ColOfCMDb!$A$2:$A$208,Domains!A19,ColOfCMDb!$I$2:$I$208)</f>
        <v>0</v>
      </c>
    </row>
    <row r="20" spans="1:8">
      <c r="A20" t="s">
        <v>206</v>
      </c>
      <c r="B20">
        <f>SUMIF(ColOfCMDb!$A$2:$A$208,Domains!A20,ColOfCMDb!$C$2:$C$208)</f>
        <v>0</v>
      </c>
      <c r="C20">
        <f>SUMIF(ColOfCMDb!$A$2:$A$208,Domains!A20,ColOfCMDb!$D$2:$D$208)</f>
        <v>0</v>
      </c>
      <c r="D20">
        <f>SUMIF(ColOfCMDb!$A$2:$A$208,Domains!A20,ColOfCMDb!$E$2:$E$208)</f>
        <v>0</v>
      </c>
      <c r="E20">
        <f>SUMIF(ColOfCMDb!$A$2:$A$208,Domains!A20,ColOfCMDb!$F$2:$F$208)</f>
        <v>0</v>
      </c>
      <c r="F20">
        <f>SUMIF(ColOfCMDb!$A$2:$A$208,Domains!A20,ColOfCMDb!$G$2:$G$208)</f>
        <v>0</v>
      </c>
      <c r="G20">
        <f>SUMIF(ColOfCMDb!$A$2:$A$208,Domains!A20,ColOfCMDb!$H$2:$H$208)</f>
        <v>0</v>
      </c>
      <c r="H20">
        <f>SUMIF(ColOfCMDb!$A$2:$A$208,Domains!A20,ColOfCMDb!$I$2:$I$208)</f>
        <v>0</v>
      </c>
    </row>
    <row r="21" spans="1:8">
      <c r="A21" t="s">
        <v>209</v>
      </c>
      <c r="B21">
        <f>SUMIF(ColOfCMDb!$A$2:$A$208,Domains!A21,ColOfCMDb!$C$2:$C$208)</f>
        <v>0</v>
      </c>
      <c r="C21">
        <f>SUMIF(ColOfCMDb!$A$2:$A$208,Domains!A21,ColOfCMDb!$D$2:$D$208)</f>
        <v>0</v>
      </c>
      <c r="D21">
        <f>SUMIF(ColOfCMDb!$A$2:$A$208,Domains!A21,ColOfCMDb!$E$2:$E$208)</f>
        <v>0</v>
      </c>
      <c r="E21">
        <f>SUMIF(ColOfCMDb!$A$2:$A$208,Domains!A21,ColOfCMDb!$F$2:$F$208)</f>
        <v>0</v>
      </c>
      <c r="F21">
        <f>SUMIF(ColOfCMDb!$A$2:$A$208,Domains!A21,ColOfCMDb!$G$2:$G$208)</f>
        <v>0</v>
      </c>
      <c r="G21">
        <f>SUMIF(ColOfCMDb!$A$2:$A$208,Domains!A21,ColOfCMDb!$H$2:$H$208)</f>
        <v>0</v>
      </c>
      <c r="H21">
        <f>SUMIF(ColOfCMDb!$A$2:$A$208,Domains!A21,ColOfCMDb!$I$2:$I$208)</f>
        <v>0</v>
      </c>
    </row>
    <row r="22" spans="1:8">
      <c r="A22" t="s">
        <v>208</v>
      </c>
      <c r="B22">
        <f>SUMIF(ColOfCMDb!$A$2:$A$208,Domains!A22,ColOfCMDb!$C$2:$C$208)</f>
        <v>0</v>
      </c>
      <c r="C22">
        <f>SUMIF(ColOfCMDb!$A$2:$A$208,Domains!A22,ColOfCMDb!$D$2:$D$208)</f>
        <v>0</v>
      </c>
      <c r="D22">
        <f>SUMIF(ColOfCMDb!$A$2:$A$208,Domains!A22,ColOfCMDb!$E$2:$E$208)</f>
        <v>0</v>
      </c>
      <c r="E22">
        <f>SUMIF(ColOfCMDb!$A$2:$A$208,Domains!A22,ColOfCMDb!$F$2:$F$208)</f>
        <v>0</v>
      </c>
      <c r="F22">
        <f>SUMIF(ColOfCMDb!$A$2:$A$208,Domains!A22,ColOfCMDb!$G$2:$G$208)</f>
        <v>0</v>
      </c>
      <c r="G22">
        <f>SUMIF(ColOfCMDb!$A$2:$A$208,Domains!A22,ColOfCMDb!$H$2:$H$208)</f>
        <v>0</v>
      </c>
      <c r="H22">
        <f>SUMIF(ColOfCMDb!$A$2:$A$208,Domains!A22,ColOfCMDb!$I$2:$I$208)</f>
        <v>0</v>
      </c>
    </row>
    <row r="23" spans="1:8">
      <c r="A23" s="10" t="s">
        <v>204</v>
      </c>
      <c r="B23" s="10">
        <f t="shared" ref="B23:H23" si="0">SUM(B2:B22)</f>
        <v>0</v>
      </c>
      <c r="C23" s="10">
        <f t="shared" si="0"/>
        <v>0</v>
      </c>
      <c r="D23" s="10">
        <f t="shared" si="0"/>
        <v>0</v>
      </c>
      <c r="E23" s="10">
        <f t="shared" si="0"/>
        <v>0</v>
      </c>
      <c r="F23" s="10">
        <f t="shared" si="0"/>
        <v>0</v>
      </c>
      <c r="G23" s="10">
        <f t="shared" si="0"/>
        <v>0</v>
      </c>
      <c r="H23" s="10">
        <f t="shared" si="0"/>
        <v>0</v>
      </c>
    </row>
  </sheetData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I209"/>
  <sheetViews>
    <sheetView zoomScale="70" zoomScaleNormal="70" workbookViewId="0">
      <selection activeCell="C2" sqref="C2"/>
    </sheetView>
  </sheetViews>
  <sheetFormatPr defaultRowHeight="15"/>
  <cols>
    <col min="1" max="1" width="12.85546875" customWidth="1"/>
    <col min="2" max="2" width="50.85546875" bestFit="1" customWidth="1"/>
    <col min="3" max="9" width="18.28515625" customWidth="1"/>
  </cols>
  <sheetData>
    <row r="1" spans="1:9">
      <c r="A1" s="5" t="s">
        <v>202</v>
      </c>
      <c r="B1" s="5" t="s">
        <v>203</v>
      </c>
      <c r="C1" s="5">
        <f>'v8'!D2</f>
        <v>0</v>
      </c>
      <c r="D1" s="5">
        <f>'v8'!E2</f>
        <v>0</v>
      </c>
      <c r="E1" s="5">
        <f>'v8'!F2</f>
        <v>0</v>
      </c>
      <c r="F1" s="5">
        <f>'v8'!G2</f>
        <v>0</v>
      </c>
      <c r="G1" s="5">
        <f>'v8'!H2</f>
        <v>0</v>
      </c>
      <c r="H1" s="5">
        <f>'v8'!I2</f>
        <v>0</v>
      </c>
      <c r="I1" s="5">
        <f>'v8'!J2</f>
        <v>0</v>
      </c>
    </row>
    <row r="2" spans="1:9">
      <c r="A2" t="s">
        <v>194</v>
      </c>
      <c r="B2" s="1" t="s">
        <v>0</v>
      </c>
      <c r="C2">
        <f>IFERROR(VLOOKUP(B2,SumOfv8!$A$1:$H$200,2,),0)</f>
        <v>0</v>
      </c>
      <c r="D2">
        <f>IFERROR(VLOOKUP(B2,SumOfv8!$A$1:$H$200,3,),0)</f>
        <v>0</v>
      </c>
      <c r="E2">
        <f>IFERROR(VLOOKUP(B2,SumOfv8!$A$1:$H$200,4,),0)</f>
        <v>0</v>
      </c>
      <c r="F2">
        <f>IFERROR(VLOOKUP(B2,SumOfv8!$A$1:$H$200,5,),0)</f>
        <v>0</v>
      </c>
      <c r="G2">
        <f>IFERROR(VLOOKUP(B2,SumOfv8!$A$1:$H$200,6,),0)</f>
        <v>0</v>
      </c>
      <c r="H2">
        <f>IFERROR(VLOOKUP(B2,SumOfv8!$A$1:$H$200,7,),0)</f>
        <v>0</v>
      </c>
      <c r="I2">
        <f>IFERROR(VLOOKUP(B2,SumOfv8!$A$1:$H$200,8,),0)</f>
        <v>0</v>
      </c>
    </row>
    <row r="3" spans="1:9">
      <c r="A3" t="s">
        <v>194</v>
      </c>
      <c r="B3" s="1" t="s">
        <v>1</v>
      </c>
      <c r="C3">
        <f>IFERROR(VLOOKUP(B3,SumOfv8!$A$1:$H$200,2,),0)</f>
        <v>0</v>
      </c>
      <c r="D3">
        <f>IFERROR(VLOOKUP(B3,SumOfv8!$A$1:$H$200,3,),0)</f>
        <v>0</v>
      </c>
      <c r="E3">
        <f>IFERROR(VLOOKUP(B3,SumOfv8!$A$1:$H$200,4,),0)</f>
        <v>0</v>
      </c>
      <c r="F3">
        <f>IFERROR(VLOOKUP(B3,SumOfv8!$A$1:$H$200,5,),0)</f>
        <v>0</v>
      </c>
      <c r="G3">
        <f>IFERROR(VLOOKUP(B3,SumOfv8!$A$1:$H$200,6,),0)</f>
        <v>0</v>
      </c>
      <c r="H3">
        <f>IFERROR(VLOOKUP(B3,SumOfv8!$A$1:$H$200,7,),0)</f>
        <v>0</v>
      </c>
      <c r="I3">
        <f>IFERROR(VLOOKUP(B3,SumOfv8!$A$1:$H$200,8,),0)</f>
        <v>0</v>
      </c>
    </row>
    <row r="4" spans="1:9">
      <c r="A4" t="s">
        <v>194</v>
      </c>
      <c r="B4" s="1" t="s">
        <v>2</v>
      </c>
      <c r="C4">
        <f>IFERROR(VLOOKUP(B4,SumOfv8!$A$1:$H$200,2,),0)</f>
        <v>0</v>
      </c>
      <c r="D4">
        <f>IFERROR(VLOOKUP(B4,SumOfv8!$A$1:$H$200,3,),0)</f>
        <v>0</v>
      </c>
      <c r="E4">
        <f>IFERROR(VLOOKUP(B4,SumOfv8!$A$1:$H$200,4,),0)</f>
        <v>0</v>
      </c>
      <c r="F4">
        <f>IFERROR(VLOOKUP(B4,SumOfv8!$A$1:$H$200,5,),0)</f>
        <v>0</v>
      </c>
      <c r="G4">
        <f>IFERROR(VLOOKUP(B4,SumOfv8!$A$1:$H$200,6,),0)</f>
        <v>0</v>
      </c>
      <c r="H4">
        <f>IFERROR(VLOOKUP(B4,SumOfv8!$A$1:$H$200,7,),0)</f>
        <v>0</v>
      </c>
      <c r="I4">
        <f>IFERROR(VLOOKUP(B4,SumOfv8!$A$1:$H$200,8,),0)</f>
        <v>0</v>
      </c>
    </row>
    <row r="5" spans="1:9">
      <c r="A5" t="s">
        <v>194</v>
      </c>
      <c r="B5" s="1" t="s">
        <v>3</v>
      </c>
      <c r="C5">
        <f>IFERROR(VLOOKUP(B5,SumOfv8!$A$1:$H$200,2,),0)</f>
        <v>0</v>
      </c>
      <c r="D5">
        <f>IFERROR(VLOOKUP(B5,SumOfv8!$A$1:$H$200,3,),0)</f>
        <v>0</v>
      </c>
      <c r="E5">
        <f>IFERROR(VLOOKUP(B5,SumOfv8!$A$1:$H$200,4,),0)</f>
        <v>0</v>
      </c>
      <c r="F5">
        <f>IFERROR(VLOOKUP(B5,SumOfv8!$A$1:$H$200,5,),0)</f>
        <v>0</v>
      </c>
      <c r="G5">
        <f>IFERROR(VLOOKUP(B5,SumOfv8!$A$1:$H$200,6,),0)</f>
        <v>0</v>
      </c>
      <c r="H5">
        <f>IFERROR(VLOOKUP(B5,SumOfv8!$A$1:$H$200,7,),0)</f>
        <v>0</v>
      </c>
      <c r="I5">
        <f>IFERROR(VLOOKUP(B5,SumOfv8!$A$1:$H$200,8,),0)</f>
        <v>0</v>
      </c>
    </row>
    <row r="6" spans="1:9">
      <c r="A6" t="s">
        <v>194</v>
      </c>
      <c r="B6" s="1" t="s">
        <v>4</v>
      </c>
      <c r="C6">
        <f>IFERROR(VLOOKUP(B6,SumOfv8!$A$1:$H$200,2,),0)</f>
        <v>0</v>
      </c>
      <c r="D6">
        <f>IFERROR(VLOOKUP(B6,SumOfv8!$A$1:$H$200,3,),0)</f>
        <v>0</v>
      </c>
      <c r="E6">
        <f>IFERROR(VLOOKUP(B6,SumOfv8!$A$1:$H$200,4,),0)</f>
        <v>0</v>
      </c>
      <c r="F6">
        <f>IFERROR(VLOOKUP(B6,SumOfv8!$A$1:$H$200,5,),0)</f>
        <v>0</v>
      </c>
      <c r="G6">
        <f>IFERROR(VLOOKUP(B6,SumOfv8!$A$1:$H$200,6,),0)</f>
        <v>0</v>
      </c>
      <c r="H6">
        <f>IFERROR(VLOOKUP(B6,SumOfv8!$A$1:$H$200,7,),0)</f>
        <v>0</v>
      </c>
      <c r="I6">
        <f>IFERROR(VLOOKUP(B6,SumOfv8!$A$1:$H$200,8,),0)</f>
        <v>0</v>
      </c>
    </row>
    <row r="7" spans="1:9">
      <c r="A7" t="s">
        <v>194</v>
      </c>
      <c r="B7" s="1" t="s">
        <v>5</v>
      </c>
      <c r="C7">
        <f>IFERROR(VLOOKUP(B7,SumOfv8!$A$1:$H$200,2,),0)</f>
        <v>0</v>
      </c>
      <c r="D7">
        <f>IFERROR(VLOOKUP(B7,SumOfv8!$A$1:$H$200,3,),0)</f>
        <v>0</v>
      </c>
      <c r="E7">
        <f>IFERROR(VLOOKUP(B7,SumOfv8!$A$1:$H$200,4,),0)</f>
        <v>0</v>
      </c>
      <c r="F7">
        <f>IFERROR(VLOOKUP(B7,SumOfv8!$A$1:$H$200,5,),0)</f>
        <v>0</v>
      </c>
      <c r="G7">
        <f>IFERROR(VLOOKUP(B7,SumOfv8!$A$1:$H$200,6,),0)</f>
        <v>0</v>
      </c>
      <c r="H7">
        <f>IFERROR(VLOOKUP(B7,SumOfv8!$A$1:$H$200,7,),0)</f>
        <v>0</v>
      </c>
      <c r="I7">
        <f>IFERROR(VLOOKUP(B7,SumOfv8!$A$1:$H$200,8,),0)</f>
        <v>0</v>
      </c>
    </row>
    <row r="8" spans="1:9">
      <c r="A8" t="s">
        <v>194</v>
      </c>
      <c r="B8" s="1" t="s">
        <v>6</v>
      </c>
      <c r="C8">
        <f>IFERROR(VLOOKUP(B8,SumOfv8!$A$1:$H$200,2,),0)</f>
        <v>0</v>
      </c>
      <c r="D8">
        <f>IFERROR(VLOOKUP(B8,SumOfv8!$A$1:$H$200,3,),0)</f>
        <v>0</v>
      </c>
      <c r="E8">
        <f>IFERROR(VLOOKUP(B8,SumOfv8!$A$1:$H$200,4,),0)</f>
        <v>0</v>
      </c>
      <c r="F8">
        <f>IFERROR(VLOOKUP(B8,SumOfv8!$A$1:$H$200,5,),0)</f>
        <v>0</v>
      </c>
      <c r="G8">
        <f>IFERROR(VLOOKUP(B8,SumOfv8!$A$1:$H$200,6,),0)</f>
        <v>0</v>
      </c>
      <c r="H8">
        <f>IFERROR(VLOOKUP(B8,SumOfv8!$A$1:$H$200,7,),0)</f>
        <v>0</v>
      </c>
      <c r="I8">
        <f>IFERROR(VLOOKUP(B8,SumOfv8!$A$1:$H$200,8,),0)</f>
        <v>0</v>
      </c>
    </row>
    <row r="9" spans="1:9">
      <c r="A9" t="s">
        <v>194</v>
      </c>
      <c r="B9" s="1" t="s">
        <v>7</v>
      </c>
      <c r="C9">
        <f>IFERROR(VLOOKUP(B9,SumOfv8!$A$1:$H$200,2,),0)</f>
        <v>0</v>
      </c>
      <c r="D9">
        <f>IFERROR(VLOOKUP(B9,SumOfv8!$A$1:$H$200,3,),0)</f>
        <v>0</v>
      </c>
      <c r="E9">
        <f>IFERROR(VLOOKUP(B9,SumOfv8!$A$1:$H$200,4,),0)</f>
        <v>0</v>
      </c>
      <c r="F9">
        <f>IFERROR(VLOOKUP(B9,SumOfv8!$A$1:$H$200,5,),0)</f>
        <v>0</v>
      </c>
      <c r="G9">
        <f>IFERROR(VLOOKUP(B9,SumOfv8!$A$1:$H$200,6,),0)</f>
        <v>0</v>
      </c>
      <c r="H9">
        <f>IFERROR(VLOOKUP(B9,SumOfv8!$A$1:$H$200,7,),0)</f>
        <v>0</v>
      </c>
      <c r="I9">
        <f>IFERROR(VLOOKUP(B9,SumOfv8!$A$1:$H$200,8,),0)</f>
        <v>0</v>
      </c>
    </row>
    <row r="10" spans="1:9">
      <c r="A10" t="s">
        <v>194</v>
      </c>
      <c r="B10" s="1" t="s">
        <v>8</v>
      </c>
      <c r="C10">
        <f>IFERROR(VLOOKUP(B10,SumOfv8!$A$1:$H$200,2,),0)</f>
        <v>0</v>
      </c>
      <c r="D10">
        <f>IFERROR(VLOOKUP(B10,SumOfv8!$A$1:$H$200,3,),0)</f>
        <v>0</v>
      </c>
      <c r="E10">
        <f>IFERROR(VLOOKUP(B10,SumOfv8!$A$1:$H$200,4,),0)</f>
        <v>0</v>
      </c>
      <c r="F10">
        <f>IFERROR(VLOOKUP(B10,SumOfv8!$A$1:$H$200,5,),0)</f>
        <v>0</v>
      </c>
      <c r="G10">
        <f>IFERROR(VLOOKUP(B10,SumOfv8!$A$1:$H$200,6,),0)</f>
        <v>0</v>
      </c>
      <c r="H10">
        <f>IFERROR(VLOOKUP(B10,SumOfv8!$A$1:$H$200,7,),0)</f>
        <v>0</v>
      </c>
      <c r="I10">
        <f>IFERROR(VLOOKUP(B10,SumOfv8!$A$1:$H$200,8,),0)</f>
        <v>0</v>
      </c>
    </row>
    <row r="11" spans="1:9">
      <c r="A11" t="s">
        <v>194</v>
      </c>
      <c r="B11" s="1" t="s">
        <v>9</v>
      </c>
      <c r="C11">
        <f>IFERROR(VLOOKUP(B11,SumOfv8!$A$1:$H$200,2,),0)</f>
        <v>0</v>
      </c>
      <c r="D11">
        <f>IFERROR(VLOOKUP(B11,SumOfv8!$A$1:$H$200,3,),0)</f>
        <v>0</v>
      </c>
      <c r="E11">
        <f>IFERROR(VLOOKUP(B11,SumOfv8!$A$1:$H$200,4,),0)</f>
        <v>0</v>
      </c>
      <c r="F11">
        <f>IFERROR(VLOOKUP(B11,SumOfv8!$A$1:$H$200,5,),0)</f>
        <v>0</v>
      </c>
      <c r="G11">
        <f>IFERROR(VLOOKUP(B11,SumOfv8!$A$1:$H$200,6,),0)</f>
        <v>0</v>
      </c>
      <c r="H11">
        <f>IFERROR(VLOOKUP(B11,SumOfv8!$A$1:$H$200,7,),0)</f>
        <v>0</v>
      </c>
      <c r="I11">
        <f>IFERROR(VLOOKUP(B11,SumOfv8!$A$1:$H$200,8,),0)</f>
        <v>0</v>
      </c>
    </row>
    <row r="12" spans="1:9">
      <c r="A12" t="s">
        <v>194</v>
      </c>
      <c r="B12" s="1" t="s">
        <v>10</v>
      </c>
      <c r="C12">
        <f>IFERROR(VLOOKUP(B12,SumOfv8!$A$1:$H$200,2,),0)</f>
        <v>0</v>
      </c>
      <c r="D12">
        <f>IFERROR(VLOOKUP(B12,SumOfv8!$A$1:$H$200,3,),0)</f>
        <v>0</v>
      </c>
      <c r="E12">
        <f>IFERROR(VLOOKUP(B12,SumOfv8!$A$1:$H$200,4,),0)</f>
        <v>0</v>
      </c>
      <c r="F12">
        <f>IFERROR(VLOOKUP(B12,SumOfv8!$A$1:$H$200,5,),0)</f>
        <v>0</v>
      </c>
      <c r="G12">
        <f>IFERROR(VLOOKUP(B12,SumOfv8!$A$1:$H$200,6,),0)</f>
        <v>0</v>
      </c>
      <c r="H12">
        <f>IFERROR(VLOOKUP(B12,SumOfv8!$A$1:$H$200,7,),0)</f>
        <v>0</v>
      </c>
      <c r="I12">
        <f>IFERROR(VLOOKUP(B12,SumOfv8!$A$1:$H$200,8,),0)</f>
        <v>0</v>
      </c>
    </row>
    <row r="13" spans="1:9">
      <c r="A13" t="s">
        <v>194</v>
      </c>
      <c r="B13" s="1" t="s">
        <v>11</v>
      </c>
      <c r="C13">
        <f>IFERROR(VLOOKUP(B13,SumOfv8!$A$1:$H$200,2,),0)</f>
        <v>0</v>
      </c>
      <c r="D13">
        <f>IFERROR(VLOOKUP(B13,SumOfv8!$A$1:$H$200,3,),0)</f>
        <v>0</v>
      </c>
      <c r="E13">
        <f>IFERROR(VLOOKUP(B13,SumOfv8!$A$1:$H$200,4,),0)</f>
        <v>0</v>
      </c>
      <c r="F13">
        <f>IFERROR(VLOOKUP(B13,SumOfv8!$A$1:$H$200,5,),0)</f>
        <v>0</v>
      </c>
      <c r="G13">
        <f>IFERROR(VLOOKUP(B13,SumOfv8!$A$1:$H$200,6,),0)</f>
        <v>0</v>
      </c>
      <c r="H13">
        <f>IFERROR(VLOOKUP(B13,SumOfv8!$A$1:$H$200,7,),0)</f>
        <v>0</v>
      </c>
      <c r="I13">
        <f>IFERROR(VLOOKUP(B13,SumOfv8!$A$1:$H$200,8,),0)</f>
        <v>0</v>
      </c>
    </row>
    <row r="14" spans="1:9">
      <c r="A14" t="s">
        <v>209</v>
      </c>
      <c r="B14" s="1" t="s">
        <v>12</v>
      </c>
      <c r="C14">
        <f>IFERROR(VLOOKUP(B14,SumOfv8!$A$1:$H$200,2,),0)</f>
        <v>0</v>
      </c>
      <c r="D14">
        <f>IFERROR(VLOOKUP(B14,SumOfv8!$A$1:$H$200,3,),0)</f>
        <v>0</v>
      </c>
      <c r="E14">
        <f>IFERROR(VLOOKUP(B14,SumOfv8!$A$1:$H$200,4,),0)</f>
        <v>0</v>
      </c>
      <c r="F14">
        <f>IFERROR(VLOOKUP(B14,SumOfv8!$A$1:$H$200,5,),0)</f>
        <v>0</v>
      </c>
      <c r="G14">
        <f>IFERROR(VLOOKUP(B14,SumOfv8!$A$1:$H$200,6,),0)</f>
        <v>0</v>
      </c>
      <c r="H14">
        <f>IFERROR(VLOOKUP(B14,SumOfv8!$A$1:$H$200,7,),0)</f>
        <v>0</v>
      </c>
      <c r="I14">
        <f>IFERROR(VLOOKUP(B14,SumOfv8!$A$1:$H$200,8,),0)</f>
        <v>0</v>
      </c>
    </row>
    <row r="15" spans="1:9">
      <c r="A15" t="s">
        <v>195</v>
      </c>
      <c r="B15" s="1" t="s">
        <v>13</v>
      </c>
      <c r="C15">
        <f>IFERROR(VLOOKUP(B15,SumOfv8!$A$1:$H$200,2,),0)</f>
        <v>0</v>
      </c>
      <c r="D15">
        <f>IFERROR(VLOOKUP(B15,SumOfv8!$A$1:$H$200,3,),0)</f>
        <v>0</v>
      </c>
      <c r="E15">
        <f>IFERROR(VLOOKUP(B15,SumOfv8!$A$1:$H$200,4,),0)</f>
        <v>0</v>
      </c>
      <c r="F15">
        <f>IFERROR(VLOOKUP(B15,SumOfv8!$A$1:$H$200,5,),0)</f>
        <v>0</v>
      </c>
      <c r="G15">
        <f>IFERROR(VLOOKUP(B15,SumOfv8!$A$1:$H$200,6,),0)</f>
        <v>0</v>
      </c>
      <c r="H15">
        <f>IFERROR(VLOOKUP(B15,SumOfv8!$A$1:$H$200,7,),0)</f>
        <v>0</v>
      </c>
      <c r="I15">
        <f>IFERROR(VLOOKUP(B15,SumOfv8!$A$1:$H$200,8,),0)</f>
        <v>0</v>
      </c>
    </row>
    <row r="16" spans="1:9">
      <c r="A16" t="s">
        <v>195</v>
      </c>
      <c r="B16" s="1" t="s">
        <v>14</v>
      </c>
      <c r="C16">
        <f>IFERROR(VLOOKUP(B16,SumOfv8!$A$1:$H$200,2,),0)</f>
        <v>0</v>
      </c>
      <c r="D16">
        <f>IFERROR(VLOOKUP(B16,SumOfv8!$A$1:$H$200,3,),0)</f>
        <v>0</v>
      </c>
      <c r="E16">
        <f>IFERROR(VLOOKUP(B16,SumOfv8!$A$1:$H$200,4,),0)</f>
        <v>0</v>
      </c>
      <c r="F16">
        <f>IFERROR(VLOOKUP(B16,SumOfv8!$A$1:$H$200,5,),0)</f>
        <v>0</v>
      </c>
      <c r="G16">
        <f>IFERROR(VLOOKUP(B16,SumOfv8!$A$1:$H$200,6,),0)</f>
        <v>0</v>
      </c>
      <c r="H16">
        <f>IFERROR(VLOOKUP(B16,SumOfv8!$A$1:$H$200,7,),0)</f>
        <v>0</v>
      </c>
      <c r="I16">
        <f>IFERROR(VLOOKUP(B16,SumOfv8!$A$1:$H$200,8,),0)</f>
        <v>0</v>
      </c>
    </row>
    <row r="17" spans="1:9">
      <c r="A17" t="s">
        <v>195</v>
      </c>
      <c r="B17" s="1" t="s">
        <v>15</v>
      </c>
      <c r="C17">
        <f>IFERROR(VLOOKUP(B17,SumOfv8!$A$1:$H$200,2,),0)</f>
        <v>0</v>
      </c>
      <c r="D17">
        <f>IFERROR(VLOOKUP(B17,SumOfv8!$A$1:$H$200,3,),0)</f>
        <v>0</v>
      </c>
      <c r="E17">
        <f>IFERROR(VLOOKUP(B17,SumOfv8!$A$1:$H$200,4,),0)</f>
        <v>0</v>
      </c>
      <c r="F17">
        <f>IFERROR(VLOOKUP(B17,SumOfv8!$A$1:$H$200,5,),0)</f>
        <v>0</v>
      </c>
      <c r="G17">
        <f>IFERROR(VLOOKUP(B17,SumOfv8!$A$1:$H$200,6,),0)</f>
        <v>0</v>
      </c>
      <c r="H17">
        <f>IFERROR(VLOOKUP(B17,SumOfv8!$A$1:$H$200,7,),0)</f>
        <v>0</v>
      </c>
      <c r="I17">
        <f>IFERROR(VLOOKUP(B17,SumOfv8!$A$1:$H$200,8,),0)</f>
        <v>0</v>
      </c>
    </row>
    <row r="18" spans="1:9">
      <c r="A18" t="s">
        <v>195</v>
      </c>
      <c r="B18" s="1" t="s">
        <v>16</v>
      </c>
      <c r="C18">
        <f>IFERROR(VLOOKUP(B18,SumOfv8!$A$1:$H$200,2,),0)</f>
        <v>0</v>
      </c>
      <c r="D18">
        <f>IFERROR(VLOOKUP(B18,SumOfv8!$A$1:$H$200,3,),0)</f>
        <v>0</v>
      </c>
      <c r="E18">
        <f>IFERROR(VLOOKUP(B18,SumOfv8!$A$1:$H$200,4,),0)</f>
        <v>0</v>
      </c>
      <c r="F18">
        <f>IFERROR(VLOOKUP(B18,SumOfv8!$A$1:$H$200,5,),0)</f>
        <v>0</v>
      </c>
      <c r="G18">
        <f>IFERROR(VLOOKUP(B18,SumOfv8!$A$1:$H$200,6,),0)</f>
        <v>0</v>
      </c>
      <c r="H18">
        <f>IFERROR(VLOOKUP(B18,SumOfv8!$A$1:$H$200,7,),0)</f>
        <v>0</v>
      </c>
      <c r="I18">
        <f>IFERROR(VLOOKUP(B18,SumOfv8!$A$1:$H$200,8,),0)</f>
        <v>0</v>
      </c>
    </row>
    <row r="19" spans="1:9">
      <c r="A19" t="s">
        <v>195</v>
      </c>
      <c r="B19" s="1" t="s">
        <v>17</v>
      </c>
      <c r="C19">
        <f>IFERROR(VLOOKUP(B19,SumOfv8!$A$1:$H$200,2,),0)</f>
        <v>0</v>
      </c>
      <c r="D19">
        <f>IFERROR(VLOOKUP(B19,SumOfv8!$A$1:$H$200,3,),0)</f>
        <v>0</v>
      </c>
      <c r="E19">
        <f>IFERROR(VLOOKUP(B19,SumOfv8!$A$1:$H$200,4,),0)</f>
        <v>0</v>
      </c>
      <c r="F19">
        <f>IFERROR(VLOOKUP(B19,SumOfv8!$A$1:$H$200,5,),0)</f>
        <v>0</v>
      </c>
      <c r="G19">
        <f>IFERROR(VLOOKUP(B19,SumOfv8!$A$1:$H$200,6,),0)</f>
        <v>0</v>
      </c>
      <c r="H19">
        <f>IFERROR(VLOOKUP(B19,SumOfv8!$A$1:$H$200,7,),0)</f>
        <v>0</v>
      </c>
      <c r="I19">
        <f>IFERROR(VLOOKUP(B19,SumOfv8!$A$1:$H$200,8,),0)</f>
        <v>0</v>
      </c>
    </row>
    <row r="20" spans="1:9">
      <c r="A20" t="s">
        <v>195</v>
      </c>
      <c r="B20" s="1" t="s">
        <v>18</v>
      </c>
      <c r="C20">
        <f>IFERROR(VLOOKUP(B20,SumOfv8!$A$1:$H$200,2,),0)</f>
        <v>0</v>
      </c>
      <c r="D20">
        <f>IFERROR(VLOOKUP(B20,SumOfv8!$A$1:$H$200,3,),0)</f>
        <v>0</v>
      </c>
      <c r="E20">
        <f>IFERROR(VLOOKUP(B20,SumOfv8!$A$1:$H$200,4,),0)</f>
        <v>0</v>
      </c>
      <c r="F20">
        <f>IFERROR(VLOOKUP(B20,SumOfv8!$A$1:$H$200,5,),0)</f>
        <v>0</v>
      </c>
      <c r="G20">
        <f>IFERROR(VLOOKUP(B20,SumOfv8!$A$1:$H$200,6,),0)</f>
        <v>0</v>
      </c>
      <c r="H20">
        <f>IFERROR(VLOOKUP(B20,SumOfv8!$A$1:$H$200,7,),0)</f>
        <v>0</v>
      </c>
      <c r="I20">
        <f>IFERROR(VLOOKUP(B20,SumOfv8!$A$1:$H$200,8,),0)</f>
        <v>0</v>
      </c>
    </row>
    <row r="21" spans="1:9">
      <c r="A21" t="s">
        <v>195</v>
      </c>
      <c r="B21" s="1" t="s">
        <v>19</v>
      </c>
      <c r="C21">
        <f>IFERROR(VLOOKUP(B21,SumOfv8!$A$1:$H$200,2,),0)</f>
        <v>0</v>
      </c>
      <c r="D21">
        <f>IFERROR(VLOOKUP(B21,SumOfv8!$A$1:$H$200,3,),0)</f>
        <v>0</v>
      </c>
      <c r="E21">
        <f>IFERROR(VLOOKUP(B21,SumOfv8!$A$1:$H$200,4,),0)</f>
        <v>0</v>
      </c>
      <c r="F21">
        <f>IFERROR(VLOOKUP(B21,SumOfv8!$A$1:$H$200,5,),0)</f>
        <v>0</v>
      </c>
      <c r="G21">
        <f>IFERROR(VLOOKUP(B21,SumOfv8!$A$1:$H$200,6,),0)</f>
        <v>0</v>
      </c>
      <c r="H21">
        <f>IFERROR(VLOOKUP(B21,SumOfv8!$A$1:$H$200,7,),0)</f>
        <v>0</v>
      </c>
      <c r="I21">
        <f>IFERROR(VLOOKUP(B21,SumOfv8!$A$1:$H$200,8,),0)</f>
        <v>0</v>
      </c>
    </row>
    <row r="22" spans="1:9">
      <c r="A22" t="s">
        <v>197</v>
      </c>
      <c r="B22" s="1" t="s">
        <v>20</v>
      </c>
      <c r="C22">
        <f>IFERROR(VLOOKUP(B22,SumOfv8!$A$1:$H$200,2,),0)</f>
        <v>0</v>
      </c>
      <c r="D22">
        <f>IFERROR(VLOOKUP(B22,SumOfv8!$A$1:$H$200,3,),0)</f>
        <v>0</v>
      </c>
      <c r="E22">
        <f>IFERROR(VLOOKUP(B22,SumOfv8!$A$1:$H$200,4,),0)</f>
        <v>0</v>
      </c>
      <c r="F22">
        <f>IFERROR(VLOOKUP(B22,SumOfv8!$A$1:$H$200,5,),0)</f>
        <v>0</v>
      </c>
      <c r="G22">
        <f>IFERROR(VLOOKUP(B22,SumOfv8!$A$1:$H$200,6,),0)</f>
        <v>0</v>
      </c>
      <c r="H22">
        <f>IFERROR(VLOOKUP(B22,SumOfv8!$A$1:$H$200,7,),0)</f>
        <v>0</v>
      </c>
      <c r="I22">
        <f>IFERROR(VLOOKUP(B22,SumOfv8!$A$1:$H$200,8,),0)</f>
        <v>0</v>
      </c>
    </row>
    <row r="23" spans="1:9">
      <c r="A23" t="s">
        <v>197</v>
      </c>
      <c r="B23" s="1" t="s">
        <v>21</v>
      </c>
      <c r="C23">
        <f>IFERROR(VLOOKUP(B23,SumOfv8!$A$1:$H$200,2,),0)</f>
        <v>0</v>
      </c>
      <c r="D23">
        <f>IFERROR(VLOOKUP(B23,SumOfv8!$A$1:$H$200,3,),0)</f>
        <v>0</v>
      </c>
      <c r="E23">
        <f>IFERROR(VLOOKUP(B23,SumOfv8!$A$1:$H$200,4,),0)</f>
        <v>0</v>
      </c>
      <c r="F23">
        <f>IFERROR(VLOOKUP(B23,SumOfv8!$A$1:$H$200,5,),0)</f>
        <v>0</v>
      </c>
      <c r="G23">
        <f>IFERROR(VLOOKUP(B23,SumOfv8!$A$1:$H$200,6,),0)</f>
        <v>0</v>
      </c>
      <c r="H23">
        <f>IFERROR(VLOOKUP(B23,SumOfv8!$A$1:$H$200,7,),0)</f>
        <v>0</v>
      </c>
      <c r="I23">
        <f>IFERROR(VLOOKUP(B23,SumOfv8!$A$1:$H$200,8,),0)</f>
        <v>0</v>
      </c>
    </row>
    <row r="24" spans="1:9">
      <c r="A24" t="s">
        <v>197</v>
      </c>
      <c r="B24" s="1" t="s">
        <v>22</v>
      </c>
      <c r="C24">
        <f>IFERROR(VLOOKUP(B24,SumOfv8!$A$1:$H$200,2,),0)</f>
        <v>0</v>
      </c>
      <c r="D24">
        <f>IFERROR(VLOOKUP(B24,SumOfv8!$A$1:$H$200,3,),0)</f>
        <v>0</v>
      </c>
      <c r="E24">
        <f>IFERROR(VLOOKUP(B24,SumOfv8!$A$1:$H$200,4,),0)</f>
        <v>0</v>
      </c>
      <c r="F24">
        <f>IFERROR(VLOOKUP(B24,SumOfv8!$A$1:$H$200,5,),0)</f>
        <v>0</v>
      </c>
      <c r="G24">
        <f>IFERROR(VLOOKUP(B24,SumOfv8!$A$1:$H$200,6,),0)</f>
        <v>0</v>
      </c>
      <c r="H24">
        <f>IFERROR(VLOOKUP(B24,SumOfv8!$A$1:$H$200,7,),0)</f>
        <v>0</v>
      </c>
      <c r="I24">
        <f>IFERROR(VLOOKUP(B24,SumOfv8!$A$1:$H$200,8,),0)</f>
        <v>0</v>
      </c>
    </row>
    <row r="25" spans="1:9">
      <c r="A25" t="s">
        <v>197</v>
      </c>
      <c r="B25" s="1" t="s">
        <v>23</v>
      </c>
      <c r="C25">
        <f>IFERROR(VLOOKUP(B25,SumOfv8!$A$1:$H$200,2,),0)</f>
        <v>0</v>
      </c>
      <c r="D25">
        <f>IFERROR(VLOOKUP(B25,SumOfv8!$A$1:$H$200,3,),0)</f>
        <v>0</v>
      </c>
      <c r="E25">
        <f>IFERROR(VLOOKUP(B25,SumOfv8!$A$1:$H$200,4,),0)</f>
        <v>0</v>
      </c>
      <c r="F25">
        <f>IFERROR(VLOOKUP(B25,SumOfv8!$A$1:$H$200,5,),0)</f>
        <v>0</v>
      </c>
      <c r="G25">
        <f>IFERROR(VLOOKUP(B25,SumOfv8!$A$1:$H$200,6,),0)</f>
        <v>0</v>
      </c>
      <c r="H25">
        <f>IFERROR(VLOOKUP(B25,SumOfv8!$A$1:$H$200,7,),0)</f>
        <v>0</v>
      </c>
      <c r="I25">
        <f>IFERROR(VLOOKUP(B25,SumOfv8!$A$1:$H$200,8,),0)</f>
        <v>0</v>
      </c>
    </row>
    <row r="26" spans="1:9">
      <c r="A26" t="s">
        <v>197</v>
      </c>
      <c r="B26" s="1" t="s">
        <v>227</v>
      </c>
      <c r="C26">
        <f>IFERROR(VLOOKUP(B26,SumOfv8!$A$1:$H$200,2,),0)</f>
        <v>0</v>
      </c>
      <c r="D26">
        <f>IFERROR(VLOOKUP(B26,SumOfv8!$A$1:$H$200,3,),0)</f>
        <v>0</v>
      </c>
      <c r="E26">
        <f>IFERROR(VLOOKUP(B26,SumOfv8!$A$1:$H$200,4,),0)</f>
        <v>0</v>
      </c>
      <c r="F26">
        <f>IFERROR(VLOOKUP(B26,SumOfv8!$A$1:$H$200,5,),0)</f>
        <v>0</v>
      </c>
      <c r="G26">
        <f>IFERROR(VLOOKUP(B26,SumOfv8!$A$1:$H$200,6,),0)</f>
        <v>0</v>
      </c>
      <c r="H26">
        <f>IFERROR(VLOOKUP(B26,SumOfv8!$A$1:$H$200,7,),0)</f>
        <v>0</v>
      </c>
      <c r="I26">
        <f>IFERROR(VLOOKUP(B26,SumOfv8!$A$1:$H$200,8,),0)</f>
        <v>0</v>
      </c>
    </row>
    <row r="27" spans="1:9">
      <c r="A27" t="s">
        <v>196</v>
      </c>
      <c r="B27" s="1" t="s">
        <v>24</v>
      </c>
      <c r="C27">
        <f>IFERROR(VLOOKUP(B27,SumOfv8!$A$1:$H$200,2,),0)</f>
        <v>0</v>
      </c>
      <c r="D27">
        <f>IFERROR(VLOOKUP(B27,SumOfv8!$A$1:$H$200,3,),0)</f>
        <v>0</v>
      </c>
      <c r="E27">
        <f>IFERROR(VLOOKUP(B27,SumOfv8!$A$1:$H$200,4,),0)</f>
        <v>0</v>
      </c>
      <c r="F27">
        <f>IFERROR(VLOOKUP(B27,SumOfv8!$A$1:$H$200,5,),0)</f>
        <v>0</v>
      </c>
      <c r="G27">
        <f>IFERROR(VLOOKUP(B27,SumOfv8!$A$1:$H$200,6,),0)</f>
        <v>0</v>
      </c>
      <c r="H27">
        <f>IFERROR(VLOOKUP(B27,SumOfv8!$A$1:$H$200,7,),0)</f>
        <v>0</v>
      </c>
      <c r="I27">
        <f>IFERROR(VLOOKUP(B27,SumOfv8!$A$1:$H$200,8,),0)</f>
        <v>0</v>
      </c>
    </row>
    <row r="28" spans="1:9">
      <c r="A28" t="s">
        <v>196</v>
      </c>
      <c r="B28" s="1" t="s">
        <v>25</v>
      </c>
      <c r="C28">
        <f>IFERROR(VLOOKUP(B28,SumOfv8!$A$1:$H$200,2,),0)</f>
        <v>0</v>
      </c>
      <c r="D28">
        <f>IFERROR(VLOOKUP(B28,SumOfv8!$A$1:$H$200,3,),0)</f>
        <v>0</v>
      </c>
      <c r="E28">
        <f>IFERROR(VLOOKUP(B28,SumOfv8!$A$1:$H$200,4,),0)</f>
        <v>0</v>
      </c>
      <c r="F28">
        <f>IFERROR(VLOOKUP(B28,SumOfv8!$A$1:$H$200,5,),0)</f>
        <v>0</v>
      </c>
      <c r="G28">
        <f>IFERROR(VLOOKUP(B28,SumOfv8!$A$1:$H$200,6,),0)</f>
        <v>0</v>
      </c>
      <c r="H28">
        <f>IFERROR(VLOOKUP(B28,SumOfv8!$A$1:$H$200,7,),0)</f>
        <v>0</v>
      </c>
      <c r="I28">
        <f>IFERROR(VLOOKUP(B28,SumOfv8!$A$1:$H$200,8,),0)</f>
        <v>0</v>
      </c>
    </row>
    <row r="29" spans="1:9">
      <c r="A29" t="s">
        <v>196</v>
      </c>
      <c r="B29" s="1" t="s">
        <v>26</v>
      </c>
      <c r="C29">
        <f>IFERROR(VLOOKUP(B29,SumOfv8!$A$1:$H$200,2,),0)</f>
        <v>0</v>
      </c>
      <c r="D29">
        <f>IFERROR(VLOOKUP(B29,SumOfv8!$A$1:$H$200,3,),0)</f>
        <v>0</v>
      </c>
      <c r="E29">
        <f>IFERROR(VLOOKUP(B29,SumOfv8!$A$1:$H$200,4,),0)</f>
        <v>0</v>
      </c>
      <c r="F29">
        <f>IFERROR(VLOOKUP(B29,SumOfv8!$A$1:$H$200,5,),0)</f>
        <v>0</v>
      </c>
      <c r="G29">
        <f>IFERROR(VLOOKUP(B29,SumOfv8!$A$1:$H$200,6,),0)</f>
        <v>0</v>
      </c>
      <c r="H29">
        <f>IFERROR(VLOOKUP(B29,SumOfv8!$A$1:$H$200,7,),0)</f>
        <v>0</v>
      </c>
      <c r="I29">
        <f>IFERROR(VLOOKUP(B29,SumOfv8!$A$1:$H$200,8,),0)</f>
        <v>0</v>
      </c>
    </row>
    <row r="30" spans="1:9">
      <c r="A30" t="s">
        <v>196</v>
      </c>
      <c r="B30" s="1" t="s">
        <v>27</v>
      </c>
      <c r="C30">
        <f>IFERROR(VLOOKUP(B30,SumOfv8!$A$1:$H$200,2,),0)</f>
        <v>0</v>
      </c>
      <c r="D30">
        <f>IFERROR(VLOOKUP(B30,SumOfv8!$A$1:$H$200,3,),0)</f>
        <v>0</v>
      </c>
      <c r="E30">
        <f>IFERROR(VLOOKUP(B30,SumOfv8!$A$1:$H$200,4,),0)</f>
        <v>0</v>
      </c>
      <c r="F30">
        <f>IFERROR(VLOOKUP(B30,SumOfv8!$A$1:$H$200,5,),0)</f>
        <v>0</v>
      </c>
      <c r="G30">
        <f>IFERROR(VLOOKUP(B30,SumOfv8!$A$1:$H$200,6,),0)</f>
        <v>0</v>
      </c>
      <c r="H30">
        <f>IFERROR(VLOOKUP(B30,SumOfv8!$A$1:$H$200,7,),0)</f>
        <v>0</v>
      </c>
      <c r="I30">
        <f>IFERROR(VLOOKUP(B30,SumOfv8!$A$1:$H$200,8,),0)</f>
        <v>0</v>
      </c>
    </row>
    <row r="31" spans="1:9">
      <c r="A31" t="s">
        <v>196</v>
      </c>
      <c r="B31" s="1" t="s">
        <v>28</v>
      </c>
      <c r="C31">
        <f>IFERROR(VLOOKUP(B31,SumOfv8!$A$1:$H$200,2,),0)</f>
        <v>0</v>
      </c>
      <c r="D31">
        <f>IFERROR(VLOOKUP(B31,SumOfv8!$A$1:$H$200,3,),0)</f>
        <v>0</v>
      </c>
      <c r="E31">
        <f>IFERROR(VLOOKUP(B31,SumOfv8!$A$1:$H$200,4,),0)</f>
        <v>0</v>
      </c>
      <c r="F31">
        <f>IFERROR(VLOOKUP(B31,SumOfv8!$A$1:$H$200,5,),0)</f>
        <v>0</v>
      </c>
      <c r="G31">
        <f>IFERROR(VLOOKUP(B31,SumOfv8!$A$1:$H$200,6,),0)</f>
        <v>0</v>
      </c>
      <c r="H31">
        <f>IFERROR(VLOOKUP(B31,SumOfv8!$A$1:$H$200,7,),0)</f>
        <v>0</v>
      </c>
      <c r="I31">
        <f>IFERROR(VLOOKUP(B31,SumOfv8!$A$1:$H$200,8,),0)</f>
        <v>0</v>
      </c>
    </row>
    <row r="32" spans="1:9">
      <c r="A32" t="s">
        <v>196</v>
      </c>
      <c r="B32" s="1" t="s">
        <v>29</v>
      </c>
      <c r="C32">
        <f>IFERROR(VLOOKUP(B32,SumOfv8!$A$1:$H$200,2,),0)</f>
        <v>0</v>
      </c>
      <c r="D32">
        <f>IFERROR(VLOOKUP(B32,SumOfv8!$A$1:$H$200,3,),0)</f>
        <v>0</v>
      </c>
      <c r="E32">
        <f>IFERROR(VLOOKUP(B32,SumOfv8!$A$1:$H$200,4,),0)</f>
        <v>0</v>
      </c>
      <c r="F32">
        <f>IFERROR(VLOOKUP(B32,SumOfv8!$A$1:$H$200,5,),0)</f>
        <v>0</v>
      </c>
      <c r="G32">
        <f>IFERROR(VLOOKUP(B32,SumOfv8!$A$1:$H$200,6,),0)</f>
        <v>0</v>
      </c>
      <c r="H32">
        <f>IFERROR(VLOOKUP(B32,SumOfv8!$A$1:$H$200,7,),0)</f>
        <v>0</v>
      </c>
      <c r="I32">
        <f>IFERROR(VLOOKUP(B32,SumOfv8!$A$1:$H$200,8,),0)</f>
        <v>0</v>
      </c>
    </row>
    <row r="33" spans="1:9">
      <c r="A33" t="s">
        <v>196</v>
      </c>
      <c r="B33" s="1" t="s">
        <v>30</v>
      </c>
      <c r="C33">
        <f>IFERROR(VLOOKUP(B33,SumOfv8!$A$1:$H$200,2,),0)</f>
        <v>0</v>
      </c>
      <c r="D33">
        <f>IFERROR(VLOOKUP(B33,SumOfv8!$A$1:$H$200,3,),0)</f>
        <v>0</v>
      </c>
      <c r="E33">
        <f>IFERROR(VLOOKUP(B33,SumOfv8!$A$1:$H$200,4,),0)</f>
        <v>0</v>
      </c>
      <c r="F33">
        <f>IFERROR(VLOOKUP(B33,SumOfv8!$A$1:$H$200,5,),0)</f>
        <v>0</v>
      </c>
      <c r="G33">
        <f>IFERROR(VLOOKUP(B33,SumOfv8!$A$1:$H$200,6,),0)</f>
        <v>0</v>
      </c>
      <c r="H33">
        <f>IFERROR(VLOOKUP(B33,SumOfv8!$A$1:$H$200,7,),0)</f>
        <v>0</v>
      </c>
      <c r="I33">
        <f>IFERROR(VLOOKUP(B33,SumOfv8!$A$1:$H$200,8,),0)</f>
        <v>0</v>
      </c>
    </row>
    <row r="34" spans="1:9">
      <c r="A34" t="s">
        <v>185</v>
      </c>
      <c r="B34" s="1" t="s">
        <v>31</v>
      </c>
      <c r="C34">
        <f>IFERROR(VLOOKUP(B34,SumOfv8!$A$1:$H$200,2,),0)</f>
        <v>0</v>
      </c>
      <c r="D34">
        <f>IFERROR(VLOOKUP(B34,SumOfv8!$A$1:$H$200,3,),0)</f>
        <v>0</v>
      </c>
      <c r="E34">
        <f>IFERROR(VLOOKUP(B34,SumOfv8!$A$1:$H$200,4,),0)</f>
        <v>0</v>
      </c>
      <c r="F34">
        <f>IFERROR(VLOOKUP(B34,SumOfv8!$A$1:$H$200,5,),0)</f>
        <v>0</v>
      </c>
      <c r="G34">
        <f>IFERROR(VLOOKUP(B34,SumOfv8!$A$1:$H$200,6,),0)</f>
        <v>0</v>
      </c>
      <c r="H34">
        <f>IFERROR(VLOOKUP(B34,SumOfv8!$A$1:$H$200,7,),0)</f>
        <v>0</v>
      </c>
      <c r="I34">
        <f>IFERROR(VLOOKUP(B34,SumOfv8!$A$1:$H$200,8,),0)</f>
        <v>0</v>
      </c>
    </row>
    <row r="35" spans="1:9">
      <c r="A35" t="s">
        <v>185</v>
      </c>
      <c r="B35" s="1" t="s">
        <v>32</v>
      </c>
      <c r="C35">
        <f>IFERROR(VLOOKUP(B35,SumOfv8!$A$1:$H$200,2,),0)</f>
        <v>0</v>
      </c>
      <c r="D35">
        <f>IFERROR(VLOOKUP(B35,SumOfv8!$A$1:$H$200,3,),0)</f>
        <v>0</v>
      </c>
      <c r="E35">
        <f>IFERROR(VLOOKUP(B35,SumOfv8!$A$1:$H$200,4,),0)</f>
        <v>0</v>
      </c>
      <c r="F35">
        <f>IFERROR(VLOOKUP(B35,SumOfv8!$A$1:$H$200,5,),0)</f>
        <v>0</v>
      </c>
      <c r="G35">
        <f>IFERROR(VLOOKUP(B35,SumOfv8!$A$1:$H$200,6,),0)</f>
        <v>0</v>
      </c>
      <c r="H35">
        <f>IFERROR(VLOOKUP(B35,SumOfv8!$A$1:$H$200,7,),0)</f>
        <v>0</v>
      </c>
      <c r="I35">
        <f>IFERROR(VLOOKUP(B35,SumOfv8!$A$1:$H$200,8,),0)</f>
        <v>0</v>
      </c>
    </row>
    <row r="36" spans="1:9">
      <c r="A36" t="s">
        <v>185</v>
      </c>
      <c r="B36" s="1" t="s">
        <v>33</v>
      </c>
      <c r="C36">
        <f>IFERROR(VLOOKUP(B36,SumOfv8!$A$1:$H$200,2,),0)</f>
        <v>0</v>
      </c>
      <c r="D36">
        <f>IFERROR(VLOOKUP(B36,SumOfv8!$A$1:$H$200,3,),0)</f>
        <v>0</v>
      </c>
      <c r="E36">
        <f>IFERROR(VLOOKUP(B36,SumOfv8!$A$1:$H$200,4,),0)</f>
        <v>0</v>
      </c>
      <c r="F36">
        <f>IFERROR(VLOOKUP(B36,SumOfv8!$A$1:$H$200,5,),0)</f>
        <v>0</v>
      </c>
      <c r="G36">
        <f>IFERROR(VLOOKUP(B36,SumOfv8!$A$1:$H$200,6,),0)</f>
        <v>0</v>
      </c>
      <c r="H36">
        <f>IFERROR(VLOOKUP(B36,SumOfv8!$A$1:$H$200,7,),0)</f>
        <v>0</v>
      </c>
      <c r="I36">
        <f>IFERROR(VLOOKUP(B36,SumOfv8!$A$1:$H$200,8,),0)</f>
        <v>0</v>
      </c>
    </row>
    <row r="37" spans="1:9">
      <c r="A37" t="s">
        <v>185</v>
      </c>
      <c r="B37" s="1" t="s">
        <v>34</v>
      </c>
      <c r="C37">
        <f>IFERROR(VLOOKUP(B37,SumOfv8!$A$1:$H$200,2,),0)</f>
        <v>0</v>
      </c>
      <c r="D37">
        <f>IFERROR(VLOOKUP(B37,SumOfv8!$A$1:$H$200,3,),0)</f>
        <v>0</v>
      </c>
      <c r="E37">
        <f>IFERROR(VLOOKUP(B37,SumOfv8!$A$1:$H$200,4,),0)</f>
        <v>0</v>
      </c>
      <c r="F37">
        <f>IFERROR(VLOOKUP(B37,SumOfv8!$A$1:$H$200,5,),0)</f>
        <v>0</v>
      </c>
      <c r="G37">
        <f>IFERROR(VLOOKUP(B37,SumOfv8!$A$1:$H$200,6,),0)</f>
        <v>0</v>
      </c>
      <c r="H37">
        <f>IFERROR(VLOOKUP(B37,SumOfv8!$A$1:$H$200,7,),0)</f>
        <v>0</v>
      </c>
      <c r="I37">
        <f>IFERROR(VLOOKUP(B37,SumOfv8!$A$1:$H$200,8,),0)</f>
        <v>0</v>
      </c>
    </row>
    <row r="38" spans="1:9">
      <c r="A38" t="s">
        <v>185</v>
      </c>
      <c r="B38" s="1" t="s">
        <v>35</v>
      </c>
      <c r="C38">
        <f>IFERROR(VLOOKUP(B38,SumOfv8!$A$1:$H$200,2,),0)</f>
        <v>0</v>
      </c>
      <c r="D38">
        <f>IFERROR(VLOOKUP(B38,SumOfv8!$A$1:$H$200,3,),0)</f>
        <v>0</v>
      </c>
      <c r="E38">
        <f>IFERROR(VLOOKUP(B38,SumOfv8!$A$1:$H$200,4,),0)</f>
        <v>0</v>
      </c>
      <c r="F38">
        <f>IFERROR(VLOOKUP(B38,SumOfv8!$A$1:$H$200,5,),0)</f>
        <v>0</v>
      </c>
      <c r="G38">
        <f>IFERROR(VLOOKUP(B38,SumOfv8!$A$1:$H$200,6,),0)</f>
        <v>0</v>
      </c>
      <c r="H38">
        <f>IFERROR(VLOOKUP(B38,SumOfv8!$A$1:$H$200,7,),0)</f>
        <v>0</v>
      </c>
      <c r="I38">
        <f>IFERROR(VLOOKUP(B38,SumOfv8!$A$1:$H$200,8,),0)</f>
        <v>0</v>
      </c>
    </row>
    <row r="39" spans="1:9">
      <c r="A39" t="s">
        <v>185</v>
      </c>
      <c r="B39" s="1" t="s">
        <v>36</v>
      </c>
      <c r="C39">
        <f>IFERROR(VLOOKUP(B39,SumOfv8!$A$1:$H$200,2,),0)</f>
        <v>0</v>
      </c>
      <c r="D39">
        <f>IFERROR(VLOOKUP(B39,SumOfv8!$A$1:$H$200,3,),0)</f>
        <v>0</v>
      </c>
      <c r="E39">
        <f>IFERROR(VLOOKUP(B39,SumOfv8!$A$1:$H$200,4,),0)</f>
        <v>0</v>
      </c>
      <c r="F39">
        <f>IFERROR(VLOOKUP(B39,SumOfv8!$A$1:$H$200,5,),0)</f>
        <v>0</v>
      </c>
      <c r="G39">
        <f>IFERROR(VLOOKUP(B39,SumOfv8!$A$1:$H$200,6,),0)</f>
        <v>0</v>
      </c>
      <c r="H39">
        <f>IFERROR(VLOOKUP(B39,SumOfv8!$A$1:$H$200,7,),0)</f>
        <v>0</v>
      </c>
      <c r="I39">
        <f>IFERROR(VLOOKUP(B39,SumOfv8!$A$1:$H$200,8,),0)</f>
        <v>0</v>
      </c>
    </row>
    <row r="40" spans="1:9">
      <c r="A40" t="s">
        <v>185</v>
      </c>
      <c r="B40" s="1" t="s">
        <v>37</v>
      </c>
      <c r="C40">
        <f>IFERROR(VLOOKUP(B40,SumOfv8!$A$1:$H$200,2,),0)</f>
        <v>0</v>
      </c>
      <c r="D40">
        <f>IFERROR(VLOOKUP(B40,SumOfv8!$A$1:$H$200,3,),0)</f>
        <v>0</v>
      </c>
      <c r="E40">
        <f>IFERROR(VLOOKUP(B40,SumOfv8!$A$1:$H$200,4,),0)</f>
        <v>0</v>
      </c>
      <c r="F40">
        <f>IFERROR(VLOOKUP(B40,SumOfv8!$A$1:$H$200,5,),0)</f>
        <v>0</v>
      </c>
      <c r="G40">
        <f>IFERROR(VLOOKUP(B40,SumOfv8!$A$1:$H$200,6,),0)</f>
        <v>0</v>
      </c>
      <c r="H40">
        <f>IFERROR(VLOOKUP(B40,SumOfv8!$A$1:$H$200,7,),0)</f>
        <v>0</v>
      </c>
      <c r="I40">
        <f>IFERROR(VLOOKUP(B40,SumOfv8!$A$1:$H$200,8,),0)</f>
        <v>0</v>
      </c>
    </row>
    <row r="41" spans="1:9">
      <c r="A41" t="s">
        <v>185</v>
      </c>
      <c r="B41" s="1" t="s">
        <v>38</v>
      </c>
      <c r="C41">
        <f>IFERROR(VLOOKUP(B41,SumOfv8!$A$1:$H$200,2,),0)</f>
        <v>0</v>
      </c>
      <c r="D41">
        <f>IFERROR(VLOOKUP(B41,SumOfv8!$A$1:$H$200,3,),0)</f>
        <v>0</v>
      </c>
      <c r="E41">
        <f>IFERROR(VLOOKUP(B41,SumOfv8!$A$1:$H$200,4,),0)</f>
        <v>0</v>
      </c>
      <c r="F41">
        <f>IFERROR(VLOOKUP(B41,SumOfv8!$A$1:$H$200,5,),0)</f>
        <v>0</v>
      </c>
      <c r="G41">
        <f>IFERROR(VLOOKUP(B41,SumOfv8!$A$1:$H$200,6,),0)</f>
        <v>0</v>
      </c>
      <c r="H41">
        <f>IFERROR(VLOOKUP(B41,SumOfv8!$A$1:$H$200,7,),0)</f>
        <v>0</v>
      </c>
      <c r="I41">
        <f>IFERROR(VLOOKUP(B41,SumOfv8!$A$1:$H$200,8,),0)</f>
        <v>0</v>
      </c>
    </row>
    <row r="42" spans="1:9">
      <c r="A42" t="s">
        <v>186</v>
      </c>
      <c r="B42" s="1" t="s">
        <v>39</v>
      </c>
      <c r="C42">
        <f>IFERROR(VLOOKUP(B42,SumOfv8!$A$1:$H$200,2,),0)</f>
        <v>0</v>
      </c>
      <c r="D42">
        <f>IFERROR(VLOOKUP(B42,SumOfv8!$A$1:$H$200,3,),0)</f>
        <v>0</v>
      </c>
      <c r="E42">
        <f>IFERROR(VLOOKUP(B42,SumOfv8!$A$1:$H$200,4,),0)</f>
        <v>0</v>
      </c>
      <c r="F42">
        <f>IFERROR(VLOOKUP(B42,SumOfv8!$A$1:$H$200,5,),0)</f>
        <v>0</v>
      </c>
      <c r="G42">
        <f>IFERROR(VLOOKUP(B42,SumOfv8!$A$1:$H$200,6,),0)</f>
        <v>0</v>
      </c>
      <c r="H42">
        <f>IFERROR(VLOOKUP(B42,SumOfv8!$A$1:$H$200,7,),0)</f>
        <v>0</v>
      </c>
      <c r="I42">
        <f>IFERROR(VLOOKUP(B42,SumOfv8!$A$1:$H$200,8,),0)</f>
        <v>0</v>
      </c>
    </row>
    <row r="43" spans="1:9">
      <c r="A43" t="s">
        <v>186</v>
      </c>
      <c r="B43" s="1" t="s">
        <v>40</v>
      </c>
      <c r="C43">
        <f>IFERROR(VLOOKUP(B43,SumOfv8!$A$1:$H$200,2,),0)</f>
        <v>0</v>
      </c>
      <c r="D43">
        <f>IFERROR(VLOOKUP(B43,SumOfv8!$A$1:$H$200,3,),0)</f>
        <v>0</v>
      </c>
      <c r="E43">
        <f>IFERROR(VLOOKUP(B43,SumOfv8!$A$1:$H$200,4,),0)</f>
        <v>0</v>
      </c>
      <c r="F43">
        <f>IFERROR(VLOOKUP(B43,SumOfv8!$A$1:$H$200,5,),0)</f>
        <v>0</v>
      </c>
      <c r="G43">
        <f>IFERROR(VLOOKUP(B43,SumOfv8!$A$1:$H$200,6,),0)</f>
        <v>0</v>
      </c>
      <c r="H43">
        <f>IFERROR(VLOOKUP(B43,SumOfv8!$A$1:$H$200,7,),0)</f>
        <v>0</v>
      </c>
      <c r="I43">
        <f>IFERROR(VLOOKUP(B43,SumOfv8!$A$1:$H$200,8,),0)</f>
        <v>0</v>
      </c>
    </row>
    <row r="44" spans="1:9">
      <c r="A44" t="s">
        <v>186</v>
      </c>
      <c r="B44" s="1" t="s">
        <v>41</v>
      </c>
      <c r="C44">
        <f>IFERROR(VLOOKUP(B44,SumOfv8!$A$1:$H$200,2,),0)</f>
        <v>0</v>
      </c>
      <c r="D44">
        <f>IFERROR(VLOOKUP(B44,SumOfv8!$A$1:$H$200,3,),0)</f>
        <v>0</v>
      </c>
      <c r="E44">
        <f>IFERROR(VLOOKUP(B44,SumOfv8!$A$1:$H$200,4,),0)</f>
        <v>0</v>
      </c>
      <c r="F44">
        <f>IFERROR(VLOOKUP(B44,SumOfv8!$A$1:$H$200,5,),0)</f>
        <v>0</v>
      </c>
      <c r="G44">
        <f>IFERROR(VLOOKUP(B44,SumOfv8!$A$1:$H$200,6,),0)</f>
        <v>0</v>
      </c>
      <c r="H44">
        <f>IFERROR(VLOOKUP(B44,SumOfv8!$A$1:$H$200,7,),0)</f>
        <v>0</v>
      </c>
      <c r="I44">
        <f>IFERROR(VLOOKUP(B44,SumOfv8!$A$1:$H$200,8,),0)</f>
        <v>0</v>
      </c>
    </row>
    <row r="45" spans="1:9">
      <c r="A45" t="s">
        <v>186</v>
      </c>
      <c r="B45" s="1" t="s">
        <v>42</v>
      </c>
      <c r="C45">
        <f>IFERROR(VLOOKUP(B45,SumOfv8!$A$1:$H$200,2,),0)</f>
        <v>0</v>
      </c>
      <c r="D45">
        <f>IFERROR(VLOOKUP(B45,SumOfv8!$A$1:$H$200,3,),0)</f>
        <v>0</v>
      </c>
      <c r="E45">
        <f>IFERROR(VLOOKUP(B45,SumOfv8!$A$1:$H$200,4,),0)</f>
        <v>0</v>
      </c>
      <c r="F45">
        <f>IFERROR(VLOOKUP(B45,SumOfv8!$A$1:$H$200,5,),0)</f>
        <v>0</v>
      </c>
      <c r="G45">
        <f>IFERROR(VLOOKUP(B45,SumOfv8!$A$1:$H$200,6,),0)</f>
        <v>0</v>
      </c>
      <c r="H45">
        <f>IFERROR(VLOOKUP(B45,SumOfv8!$A$1:$H$200,7,),0)</f>
        <v>0</v>
      </c>
      <c r="I45">
        <f>IFERROR(VLOOKUP(B45,SumOfv8!$A$1:$H$200,8,),0)</f>
        <v>0</v>
      </c>
    </row>
    <row r="46" spans="1:9">
      <c r="A46" t="s">
        <v>186</v>
      </c>
      <c r="B46" s="1" t="s">
        <v>43</v>
      </c>
      <c r="C46">
        <f>IFERROR(VLOOKUP(B46,SumOfv8!$A$1:$H$200,2,),0)</f>
        <v>0</v>
      </c>
      <c r="D46">
        <f>IFERROR(VLOOKUP(B46,SumOfv8!$A$1:$H$200,3,),0)</f>
        <v>0</v>
      </c>
      <c r="E46">
        <f>IFERROR(VLOOKUP(B46,SumOfv8!$A$1:$H$200,4,),0)</f>
        <v>0</v>
      </c>
      <c r="F46">
        <f>IFERROR(VLOOKUP(B46,SumOfv8!$A$1:$H$200,5,),0)</f>
        <v>0</v>
      </c>
      <c r="G46">
        <f>IFERROR(VLOOKUP(B46,SumOfv8!$A$1:$H$200,6,),0)</f>
        <v>0</v>
      </c>
      <c r="H46">
        <f>IFERROR(VLOOKUP(B46,SumOfv8!$A$1:$H$200,7,),0)</f>
        <v>0</v>
      </c>
      <c r="I46">
        <f>IFERROR(VLOOKUP(B46,SumOfv8!$A$1:$H$200,8,),0)</f>
        <v>0</v>
      </c>
    </row>
    <row r="47" spans="1:9">
      <c r="A47" t="s">
        <v>186</v>
      </c>
      <c r="B47" s="1" t="s">
        <v>44</v>
      </c>
      <c r="C47">
        <f>IFERROR(VLOOKUP(B47,SumOfv8!$A$1:$H$200,2,),0)</f>
        <v>0</v>
      </c>
      <c r="D47">
        <f>IFERROR(VLOOKUP(B47,SumOfv8!$A$1:$H$200,3,),0)</f>
        <v>0</v>
      </c>
      <c r="E47">
        <f>IFERROR(VLOOKUP(B47,SumOfv8!$A$1:$H$200,4,),0)</f>
        <v>0</v>
      </c>
      <c r="F47">
        <f>IFERROR(VLOOKUP(B47,SumOfv8!$A$1:$H$200,5,),0)</f>
        <v>0</v>
      </c>
      <c r="G47">
        <f>IFERROR(VLOOKUP(B47,SumOfv8!$A$1:$H$200,6,),0)</f>
        <v>0</v>
      </c>
      <c r="H47">
        <f>IFERROR(VLOOKUP(B47,SumOfv8!$A$1:$H$200,7,),0)</f>
        <v>0</v>
      </c>
      <c r="I47">
        <f>IFERROR(VLOOKUP(B47,SumOfv8!$A$1:$H$200,8,),0)</f>
        <v>0</v>
      </c>
    </row>
    <row r="48" spans="1:9">
      <c r="A48" t="s">
        <v>186</v>
      </c>
      <c r="B48" s="1" t="s">
        <v>45</v>
      </c>
      <c r="C48">
        <f>IFERROR(VLOOKUP(B48,SumOfv8!$A$1:$H$200,2,),0)</f>
        <v>0</v>
      </c>
      <c r="D48">
        <f>IFERROR(VLOOKUP(B48,SumOfv8!$A$1:$H$200,3,),0)</f>
        <v>0</v>
      </c>
      <c r="E48">
        <f>IFERROR(VLOOKUP(B48,SumOfv8!$A$1:$H$200,4,),0)</f>
        <v>0</v>
      </c>
      <c r="F48">
        <f>IFERROR(VLOOKUP(B48,SumOfv8!$A$1:$H$200,5,),0)</f>
        <v>0</v>
      </c>
      <c r="G48">
        <f>IFERROR(VLOOKUP(B48,SumOfv8!$A$1:$H$200,6,),0)</f>
        <v>0</v>
      </c>
      <c r="H48">
        <f>IFERROR(VLOOKUP(B48,SumOfv8!$A$1:$H$200,7,),0)</f>
        <v>0</v>
      </c>
      <c r="I48">
        <f>IFERROR(VLOOKUP(B48,SumOfv8!$A$1:$H$200,8,),0)</f>
        <v>0</v>
      </c>
    </row>
    <row r="49" spans="1:9">
      <c r="A49" t="s">
        <v>186</v>
      </c>
      <c r="B49" s="1" t="s">
        <v>46</v>
      </c>
      <c r="C49">
        <f>IFERROR(VLOOKUP(B49,SumOfv8!$A$1:$H$200,2,),0)</f>
        <v>0</v>
      </c>
      <c r="D49">
        <f>IFERROR(VLOOKUP(B49,SumOfv8!$A$1:$H$200,3,),0)</f>
        <v>0</v>
      </c>
      <c r="E49">
        <f>IFERROR(VLOOKUP(B49,SumOfv8!$A$1:$H$200,4,),0)</f>
        <v>0</v>
      </c>
      <c r="F49">
        <f>IFERROR(VLOOKUP(B49,SumOfv8!$A$1:$H$200,5,),0)</f>
        <v>0</v>
      </c>
      <c r="G49">
        <f>IFERROR(VLOOKUP(B49,SumOfv8!$A$1:$H$200,6,),0)</f>
        <v>0</v>
      </c>
      <c r="H49">
        <f>IFERROR(VLOOKUP(B49,SumOfv8!$A$1:$H$200,7,),0)</f>
        <v>0</v>
      </c>
      <c r="I49">
        <f>IFERROR(VLOOKUP(B49,SumOfv8!$A$1:$H$200,8,),0)</f>
        <v>0</v>
      </c>
    </row>
    <row r="50" spans="1:9">
      <c r="A50" t="s">
        <v>198</v>
      </c>
      <c r="B50" s="1" t="s">
        <v>47</v>
      </c>
      <c r="C50">
        <f>IFERROR(VLOOKUP(B50,SumOfv8!$A$1:$H$200,2,),0)</f>
        <v>0</v>
      </c>
      <c r="D50">
        <f>IFERROR(VLOOKUP(B50,SumOfv8!$A$1:$H$200,3,),0)</f>
        <v>0</v>
      </c>
      <c r="E50">
        <f>IFERROR(VLOOKUP(B50,SumOfv8!$A$1:$H$200,4,),0)</f>
        <v>0</v>
      </c>
      <c r="F50">
        <f>IFERROR(VLOOKUP(B50,SumOfv8!$A$1:$H$200,5,),0)</f>
        <v>0</v>
      </c>
      <c r="G50">
        <f>IFERROR(VLOOKUP(B50,SumOfv8!$A$1:$H$200,6,),0)</f>
        <v>0</v>
      </c>
      <c r="H50">
        <f>IFERROR(VLOOKUP(B50,SumOfv8!$A$1:$H$200,7,),0)</f>
        <v>0</v>
      </c>
      <c r="I50">
        <f>IFERROR(VLOOKUP(B50,SumOfv8!$A$1:$H$200,8,),0)</f>
        <v>0</v>
      </c>
    </row>
    <row r="51" spans="1:9">
      <c r="A51" t="s">
        <v>198</v>
      </c>
      <c r="B51" s="1" t="s">
        <v>48</v>
      </c>
      <c r="C51">
        <f>IFERROR(VLOOKUP(B51,SumOfv8!$A$1:$H$200,2,),0)</f>
        <v>0</v>
      </c>
      <c r="D51">
        <f>IFERROR(VLOOKUP(B51,SumOfv8!$A$1:$H$200,3,),0)</f>
        <v>0</v>
      </c>
      <c r="E51">
        <f>IFERROR(VLOOKUP(B51,SumOfv8!$A$1:$H$200,4,),0)</f>
        <v>0</v>
      </c>
      <c r="F51">
        <f>IFERROR(VLOOKUP(B51,SumOfv8!$A$1:$H$200,5,),0)</f>
        <v>0</v>
      </c>
      <c r="G51">
        <f>IFERROR(VLOOKUP(B51,SumOfv8!$A$1:$H$200,6,),0)</f>
        <v>0</v>
      </c>
      <c r="H51">
        <f>IFERROR(VLOOKUP(B51,SumOfv8!$A$1:$H$200,7,),0)</f>
        <v>0</v>
      </c>
      <c r="I51">
        <f>IFERROR(VLOOKUP(B51,SumOfv8!$A$1:$H$200,8,),0)</f>
        <v>0</v>
      </c>
    </row>
    <row r="52" spans="1:9">
      <c r="A52" t="s">
        <v>198</v>
      </c>
      <c r="B52" s="1" t="s">
        <v>49</v>
      </c>
      <c r="C52">
        <f>IFERROR(VLOOKUP(B52,SumOfv8!$A$1:$H$200,2,),0)</f>
        <v>0</v>
      </c>
      <c r="D52">
        <f>IFERROR(VLOOKUP(B52,SumOfv8!$A$1:$H$200,3,),0)</f>
        <v>0</v>
      </c>
      <c r="E52">
        <f>IFERROR(VLOOKUP(B52,SumOfv8!$A$1:$H$200,4,),0)</f>
        <v>0</v>
      </c>
      <c r="F52">
        <f>IFERROR(VLOOKUP(B52,SumOfv8!$A$1:$H$200,5,),0)</f>
        <v>0</v>
      </c>
      <c r="G52">
        <f>IFERROR(VLOOKUP(B52,SumOfv8!$A$1:$H$200,6,),0)</f>
        <v>0</v>
      </c>
      <c r="H52">
        <f>IFERROR(VLOOKUP(B52,SumOfv8!$A$1:$H$200,7,),0)</f>
        <v>0</v>
      </c>
      <c r="I52">
        <f>IFERROR(VLOOKUP(B52,SumOfv8!$A$1:$H$200,8,),0)</f>
        <v>0</v>
      </c>
    </row>
    <row r="53" spans="1:9">
      <c r="A53" t="s">
        <v>198</v>
      </c>
      <c r="B53" s="1" t="s">
        <v>50</v>
      </c>
      <c r="C53">
        <f>IFERROR(VLOOKUP(B53,SumOfv8!$A$1:$H$200,2,),0)</f>
        <v>0</v>
      </c>
      <c r="D53">
        <f>IFERROR(VLOOKUP(B53,SumOfv8!$A$1:$H$200,3,),0)</f>
        <v>0</v>
      </c>
      <c r="E53">
        <f>IFERROR(VLOOKUP(B53,SumOfv8!$A$1:$H$200,4,),0)</f>
        <v>0</v>
      </c>
      <c r="F53">
        <f>IFERROR(VLOOKUP(B53,SumOfv8!$A$1:$H$200,5,),0)</f>
        <v>0</v>
      </c>
      <c r="G53">
        <f>IFERROR(VLOOKUP(B53,SumOfv8!$A$1:$H$200,6,),0)</f>
        <v>0</v>
      </c>
      <c r="H53">
        <f>IFERROR(VLOOKUP(B53,SumOfv8!$A$1:$H$200,7,),0)</f>
        <v>0</v>
      </c>
      <c r="I53">
        <f>IFERROR(VLOOKUP(B53,SumOfv8!$A$1:$H$200,8,),0)</f>
        <v>0</v>
      </c>
    </row>
    <row r="54" spans="1:9">
      <c r="A54" t="s">
        <v>198</v>
      </c>
      <c r="B54" s="1" t="s">
        <v>51</v>
      </c>
      <c r="C54">
        <f>IFERROR(VLOOKUP(B54,SumOfv8!$A$1:$H$200,2,),0)</f>
        <v>0</v>
      </c>
      <c r="D54">
        <f>IFERROR(VLOOKUP(B54,SumOfv8!$A$1:$H$200,3,),0)</f>
        <v>0</v>
      </c>
      <c r="E54">
        <f>IFERROR(VLOOKUP(B54,SumOfv8!$A$1:$H$200,4,),0)</f>
        <v>0</v>
      </c>
      <c r="F54">
        <f>IFERROR(VLOOKUP(B54,SumOfv8!$A$1:$H$200,5,),0)</f>
        <v>0</v>
      </c>
      <c r="G54">
        <f>IFERROR(VLOOKUP(B54,SumOfv8!$A$1:$H$200,6,),0)</f>
        <v>0</v>
      </c>
      <c r="H54">
        <f>IFERROR(VLOOKUP(B54,SumOfv8!$A$1:$H$200,7,),0)</f>
        <v>0</v>
      </c>
      <c r="I54">
        <f>IFERROR(VLOOKUP(B54,SumOfv8!$A$1:$H$200,8,),0)</f>
        <v>0</v>
      </c>
    </row>
    <row r="55" spans="1:9">
      <c r="A55" t="s">
        <v>198</v>
      </c>
      <c r="B55" s="1" t="s">
        <v>224</v>
      </c>
      <c r="C55">
        <f>IFERROR(VLOOKUP(B55,SumOfv8!$A$1:$H$200,2,),0)</f>
        <v>0</v>
      </c>
      <c r="D55">
        <f>IFERROR(VLOOKUP(B55,SumOfv8!$A$1:$H$200,3,),0)</f>
        <v>0</v>
      </c>
      <c r="E55">
        <f>IFERROR(VLOOKUP(B55,SumOfv8!$A$1:$H$200,4,),0)</f>
        <v>0</v>
      </c>
      <c r="F55">
        <f>IFERROR(VLOOKUP(B55,SumOfv8!$A$1:$H$200,5,),0)</f>
        <v>0</v>
      </c>
      <c r="G55">
        <f>IFERROR(VLOOKUP(B55,SumOfv8!$A$1:$H$200,6,),0)</f>
        <v>0</v>
      </c>
      <c r="H55">
        <f>IFERROR(VLOOKUP(B55,SumOfv8!$A$1:$H$200,7,),0)</f>
        <v>0</v>
      </c>
      <c r="I55">
        <f>IFERROR(VLOOKUP(B55,SumOfv8!$A$1:$H$200,8,),0)</f>
        <v>0</v>
      </c>
    </row>
    <row r="56" spans="1:9">
      <c r="A56" t="s">
        <v>198</v>
      </c>
      <c r="B56" s="1" t="s">
        <v>225</v>
      </c>
      <c r="C56">
        <f>IFERROR(VLOOKUP(B56,SumOfv8!$A$1:$H$200,2,),0)</f>
        <v>0</v>
      </c>
      <c r="D56">
        <f>IFERROR(VLOOKUP(B56,SumOfv8!$A$1:$H$200,3,),0)</f>
        <v>0</v>
      </c>
      <c r="E56">
        <f>IFERROR(VLOOKUP(B56,SumOfv8!$A$1:$H$200,4,),0)</f>
        <v>0</v>
      </c>
      <c r="F56">
        <f>IFERROR(VLOOKUP(B56,SumOfv8!$A$1:$H$200,5,),0)</f>
        <v>0</v>
      </c>
      <c r="G56">
        <f>IFERROR(VLOOKUP(B56,SumOfv8!$A$1:$H$200,6,),0)</f>
        <v>0</v>
      </c>
      <c r="H56">
        <f>IFERROR(VLOOKUP(B56,SumOfv8!$A$1:$H$200,7,),0)</f>
        <v>0</v>
      </c>
      <c r="I56">
        <f>IFERROR(VLOOKUP(B56,SumOfv8!$A$1:$H$200,8,),0)</f>
        <v>0</v>
      </c>
    </row>
    <row r="57" spans="1:9">
      <c r="A57" t="s">
        <v>198</v>
      </c>
      <c r="B57" s="1" t="s">
        <v>226</v>
      </c>
      <c r="C57">
        <f>IFERROR(VLOOKUP(B57,SumOfv8!$A$1:$H$200,2,),0)</f>
        <v>0</v>
      </c>
      <c r="D57">
        <f>IFERROR(VLOOKUP(B57,SumOfv8!$A$1:$H$200,3,),0)</f>
        <v>0</v>
      </c>
      <c r="E57">
        <f>IFERROR(VLOOKUP(B57,SumOfv8!$A$1:$H$200,4,),0)</f>
        <v>0</v>
      </c>
      <c r="F57">
        <f>IFERROR(VLOOKUP(B57,SumOfv8!$A$1:$H$200,5,),0)</f>
        <v>0</v>
      </c>
      <c r="G57">
        <f>IFERROR(VLOOKUP(B57,SumOfv8!$A$1:$H$200,6,),0)</f>
        <v>0</v>
      </c>
      <c r="H57">
        <f>IFERROR(VLOOKUP(B57,SumOfv8!$A$1:$H$200,7,),0)</f>
        <v>0</v>
      </c>
      <c r="I57">
        <f>IFERROR(VLOOKUP(B57,SumOfv8!$A$1:$H$200,8,),0)</f>
        <v>0</v>
      </c>
    </row>
    <row r="58" spans="1:9">
      <c r="A58" t="s">
        <v>199</v>
      </c>
      <c r="B58" s="1" t="s">
        <v>52</v>
      </c>
      <c r="C58">
        <f>IFERROR(VLOOKUP(B58,SumOfv8!$A$1:$H$200,2,),0)</f>
        <v>0</v>
      </c>
      <c r="D58">
        <f>IFERROR(VLOOKUP(B58,SumOfv8!$A$1:$H$200,3,),0)</f>
        <v>0</v>
      </c>
      <c r="E58">
        <f>IFERROR(VLOOKUP(B58,SumOfv8!$A$1:$H$200,4,),0)</f>
        <v>0</v>
      </c>
      <c r="F58">
        <f>IFERROR(VLOOKUP(B58,SumOfv8!$A$1:$H$200,5,),0)</f>
        <v>0</v>
      </c>
      <c r="G58">
        <f>IFERROR(VLOOKUP(B58,SumOfv8!$A$1:$H$200,6,),0)</f>
        <v>0</v>
      </c>
      <c r="H58">
        <f>IFERROR(VLOOKUP(B58,SumOfv8!$A$1:$H$200,7,),0)</f>
        <v>0</v>
      </c>
      <c r="I58">
        <f>IFERROR(VLOOKUP(B58,SumOfv8!$A$1:$H$200,8,),0)</f>
        <v>0</v>
      </c>
    </row>
    <row r="59" spans="1:9">
      <c r="A59" t="s">
        <v>199</v>
      </c>
      <c r="B59" s="1" t="s">
        <v>53</v>
      </c>
      <c r="C59">
        <f>IFERROR(VLOOKUP(B59,SumOfv8!$A$1:$H$200,2,),0)</f>
        <v>0</v>
      </c>
      <c r="D59">
        <f>IFERROR(VLOOKUP(B59,SumOfv8!$A$1:$H$200,3,),0)</f>
        <v>0</v>
      </c>
      <c r="E59">
        <f>IFERROR(VLOOKUP(B59,SumOfv8!$A$1:$H$200,4,),0)</f>
        <v>0</v>
      </c>
      <c r="F59">
        <f>IFERROR(VLOOKUP(B59,SumOfv8!$A$1:$H$200,5,),0)</f>
        <v>0</v>
      </c>
      <c r="G59">
        <f>IFERROR(VLOOKUP(B59,SumOfv8!$A$1:$H$200,6,),0)</f>
        <v>0</v>
      </c>
      <c r="H59">
        <f>IFERROR(VLOOKUP(B59,SumOfv8!$A$1:$H$200,7,),0)</f>
        <v>0</v>
      </c>
      <c r="I59">
        <f>IFERROR(VLOOKUP(B59,SumOfv8!$A$1:$H$200,8,),0)</f>
        <v>0</v>
      </c>
    </row>
    <row r="60" spans="1:9">
      <c r="A60" t="s">
        <v>200</v>
      </c>
      <c r="B60" s="1" t="s">
        <v>54</v>
      </c>
      <c r="C60">
        <f>IFERROR(VLOOKUP(B60,SumOfv8!$A$1:$H$200,2,),0)</f>
        <v>0</v>
      </c>
      <c r="D60">
        <f>IFERROR(VLOOKUP(B60,SumOfv8!$A$1:$H$200,3,),0)</f>
        <v>0</v>
      </c>
      <c r="E60">
        <f>IFERROR(VLOOKUP(B60,SumOfv8!$A$1:$H$200,4,),0)</f>
        <v>0</v>
      </c>
      <c r="F60">
        <f>IFERROR(VLOOKUP(B60,SumOfv8!$A$1:$H$200,5,),0)</f>
        <v>0</v>
      </c>
      <c r="G60">
        <f>IFERROR(VLOOKUP(B60,SumOfv8!$A$1:$H$200,6,),0)</f>
        <v>0</v>
      </c>
      <c r="H60">
        <f>IFERROR(VLOOKUP(B60,SumOfv8!$A$1:$H$200,7,),0)</f>
        <v>0</v>
      </c>
      <c r="I60">
        <f>IFERROR(VLOOKUP(B60,SumOfv8!$A$1:$H$200,8,),0)</f>
        <v>0</v>
      </c>
    </row>
    <row r="61" spans="1:9">
      <c r="A61" t="s">
        <v>200</v>
      </c>
      <c r="B61" s="1" t="s">
        <v>55</v>
      </c>
      <c r="C61">
        <f>IFERROR(VLOOKUP(B61,SumOfv8!$A$1:$H$200,2,),0)</f>
        <v>0</v>
      </c>
      <c r="D61">
        <f>IFERROR(VLOOKUP(B61,SumOfv8!$A$1:$H$200,3,),0)</f>
        <v>0</v>
      </c>
      <c r="E61">
        <f>IFERROR(VLOOKUP(B61,SumOfv8!$A$1:$H$200,4,),0)</f>
        <v>0</v>
      </c>
      <c r="F61">
        <f>IFERROR(VLOOKUP(B61,SumOfv8!$A$1:$H$200,5,),0)</f>
        <v>0</v>
      </c>
      <c r="G61">
        <f>IFERROR(VLOOKUP(B61,SumOfv8!$A$1:$H$200,6,),0)</f>
        <v>0</v>
      </c>
      <c r="H61">
        <f>IFERROR(VLOOKUP(B61,SumOfv8!$A$1:$H$200,7,),0)</f>
        <v>0</v>
      </c>
      <c r="I61">
        <f>IFERROR(VLOOKUP(B61,SumOfv8!$A$1:$H$200,8,),0)</f>
        <v>0</v>
      </c>
    </row>
    <row r="62" spans="1:9">
      <c r="A62" t="s">
        <v>200</v>
      </c>
      <c r="B62" s="1" t="s">
        <v>56</v>
      </c>
      <c r="C62">
        <f>IFERROR(VLOOKUP(B62,SumOfv8!$A$1:$H$200,2,),0)</f>
        <v>0</v>
      </c>
      <c r="D62">
        <f>IFERROR(VLOOKUP(B62,SumOfv8!$A$1:$H$200,3,),0)</f>
        <v>0</v>
      </c>
      <c r="E62">
        <f>IFERROR(VLOOKUP(B62,SumOfv8!$A$1:$H$200,4,),0)</f>
        <v>0</v>
      </c>
      <c r="F62">
        <f>IFERROR(VLOOKUP(B62,SumOfv8!$A$1:$H$200,5,),0)</f>
        <v>0</v>
      </c>
      <c r="G62">
        <f>IFERROR(VLOOKUP(B62,SumOfv8!$A$1:$H$200,6,),0)</f>
        <v>0</v>
      </c>
      <c r="H62">
        <f>IFERROR(VLOOKUP(B62,SumOfv8!$A$1:$H$200,7,),0)</f>
        <v>0</v>
      </c>
      <c r="I62">
        <f>IFERROR(VLOOKUP(B62,SumOfv8!$A$1:$H$200,8,),0)</f>
        <v>0</v>
      </c>
    </row>
    <row r="63" spans="1:9">
      <c r="A63" t="s">
        <v>200</v>
      </c>
      <c r="B63" s="1" t="s">
        <v>57</v>
      </c>
      <c r="C63">
        <f>IFERROR(VLOOKUP(B63,SumOfv8!$A$1:$H$200,2,),0)</f>
        <v>0</v>
      </c>
      <c r="D63">
        <f>IFERROR(VLOOKUP(B63,SumOfv8!$A$1:$H$200,3,),0)</f>
        <v>0</v>
      </c>
      <c r="E63">
        <f>IFERROR(VLOOKUP(B63,SumOfv8!$A$1:$H$200,4,),0)</f>
        <v>0</v>
      </c>
      <c r="F63">
        <f>IFERROR(VLOOKUP(B63,SumOfv8!$A$1:$H$200,5,),0)</f>
        <v>0</v>
      </c>
      <c r="G63">
        <f>IFERROR(VLOOKUP(B63,SumOfv8!$A$1:$H$200,6,),0)</f>
        <v>0</v>
      </c>
      <c r="H63">
        <f>IFERROR(VLOOKUP(B63,SumOfv8!$A$1:$H$200,7,),0)</f>
        <v>0</v>
      </c>
      <c r="I63">
        <f>IFERROR(VLOOKUP(B63,SumOfv8!$A$1:$H$200,8,),0)</f>
        <v>0</v>
      </c>
    </row>
    <row r="64" spans="1:9">
      <c r="A64" t="s">
        <v>200</v>
      </c>
      <c r="B64" s="1" t="s">
        <v>58</v>
      </c>
      <c r="C64">
        <f>IFERROR(VLOOKUP(B64,SumOfv8!$A$1:$H$200,2,),0)</f>
        <v>0</v>
      </c>
      <c r="D64">
        <f>IFERROR(VLOOKUP(B64,SumOfv8!$A$1:$H$200,3,),0)</f>
        <v>0</v>
      </c>
      <c r="E64">
        <f>IFERROR(VLOOKUP(B64,SumOfv8!$A$1:$H$200,4,),0)</f>
        <v>0</v>
      </c>
      <c r="F64">
        <f>IFERROR(VLOOKUP(B64,SumOfv8!$A$1:$H$200,5,),0)</f>
        <v>0</v>
      </c>
      <c r="G64">
        <f>IFERROR(VLOOKUP(B64,SumOfv8!$A$1:$H$200,6,),0)</f>
        <v>0</v>
      </c>
      <c r="H64">
        <f>IFERROR(VLOOKUP(B64,SumOfv8!$A$1:$H$200,7,),0)</f>
        <v>0</v>
      </c>
      <c r="I64">
        <f>IFERROR(VLOOKUP(B64,SumOfv8!$A$1:$H$200,8,),0)</f>
        <v>0</v>
      </c>
    </row>
    <row r="65" spans="1:9">
      <c r="A65" t="s">
        <v>200</v>
      </c>
      <c r="B65" s="1" t="s">
        <v>59</v>
      </c>
      <c r="C65">
        <f>IFERROR(VLOOKUP(B65,SumOfv8!$A$1:$H$200,2,),0)</f>
        <v>0</v>
      </c>
      <c r="D65">
        <f>IFERROR(VLOOKUP(B65,SumOfv8!$A$1:$H$200,3,),0)</f>
        <v>0</v>
      </c>
      <c r="E65">
        <f>IFERROR(VLOOKUP(B65,SumOfv8!$A$1:$H$200,4,),0)</f>
        <v>0</v>
      </c>
      <c r="F65">
        <f>IFERROR(VLOOKUP(B65,SumOfv8!$A$1:$H$200,5,),0)</f>
        <v>0</v>
      </c>
      <c r="G65">
        <f>IFERROR(VLOOKUP(B65,SumOfv8!$A$1:$H$200,6,),0)</f>
        <v>0</v>
      </c>
      <c r="H65">
        <f>IFERROR(VLOOKUP(B65,SumOfv8!$A$1:$H$200,7,),0)</f>
        <v>0</v>
      </c>
      <c r="I65">
        <f>IFERROR(VLOOKUP(B65,SumOfv8!$A$1:$H$200,8,),0)</f>
        <v>0</v>
      </c>
    </row>
    <row r="66" spans="1:9">
      <c r="A66" t="s">
        <v>200</v>
      </c>
      <c r="B66" s="1" t="s">
        <v>60</v>
      </c>
      <c r="C66">
        <f>IFERROR(VLOOKUP(B66,SumOfv8!$A$1:$H$200,2,),0)</f>
        <v>0</v>
      </c>
      <c r="D66">
        <f>IFERROR(VLOOKUP(B66,SumOfv8!$A$1:$H$200,3,),0)</f>
        <v>0</v>
      </c>
      <c r="E66">
        <f>IFERROR(VLOOKUP(B66,SumOfv8!$A$1:$H$200,4,),0)</f>
        <v>0</v>
      </c>
      <c r="F66">
        <f>IFERROR(VLOOKUP(B66,SumOfv8!$A$1:$H$200,5,),0)</f>
        <v>0</v>
      </c>
      <c r="G66">
        <f>IFERROR(VLOOKUP(B66,SumOfv8!$A$1:$H$200,6,),0)</f>
        <v>0</v>
      </c>
      <c r="H66">
        <f>IFERROR(VLOOKUP(B66,SumOfv8!$A$1:$H$200,7,),0)</f>
        <v>0</v>
      </c>
      <c r="I66">
        <f>IFERROR(VLOOKUP(B66,SumOfv8!$A$1:$H$200,8,),0)</f>
        <v>0</v>
      </c>
    </row>
    <row r="67" spans="1:9">
      <c r="A67" t="s">
        <v>200</v>
      </c>
      <c r="B67" s="1" t="s">
        <v>61</v>
      </c>
      <c r="C67">
        <f>IFERROR(VLOOKUP(B67,SumOfv8!$A$1:$H$200,2,),0)</f>
        <v>0</v>
      </c>
      <c r="D67">
        <f>IFERROR(VLOOKUP(B67,SumOfv8!$A$1:$H$200,3,),0)</f>
        <v>0</v>
      </c>
      <c r="E67">
        <f>IFERROR(VLOOKUP(B67,SumOfv8!$A$1:$H$200,4,),0)</f>
        <v>0</v>
      </c>
      <c r="F67">
        <f>IFERROR(VLOOKUP(B67,SumOfv8!$A$1:$H$200,5,),0)</f>
        <v>0</v>
      </c>
      <c r="G67">
        <f>IFERROR(VLOOKUP(B67,SumOfv8!$A$1:$H$200,6,),0)</f>
        <v>0</v>
      </c>
      <c r="H67">
        <f>IFERROR(VLOOKUP(B67,SumOfv8!$A$1:$H$200,7,),0)</f>
        <v>0</v>
      </c>
      <c r="I67">
        <f>IFERROR(VLOOKUP(B67,SumOfv8!$A$1:$H$200,8,),0)</f>
        <v>0</v>
      </c>
    </row>
    <row r="68" spans="1:9">
      <c r="A68" t="s">
        <v>200</v>
      </c>
      <c r="B68" s="1" t="s">
        <v>62</v>
      </c>
      <c r="C68">
        <f>IFERROR(VLOOKUP(B68,SumOfv8!$A$1:$H$200,2,),0)</f>
        <v>0</v>
      </c>
      <c r="D68">
        <f>IFERROR(VLOOKUP(B68,SumOfv8!$A$1:$H$200,3,),0)</f>
        <v>0</v>
      </c>
      <c r="E68">
        <f>IFERROR(VLOOKUP(B68,SumOfv8!$A$1:$H$200,4,),0)</f>
        <v>0</v>
      </c>
      <c r="F68">
        <f>IFERROR(VLOOKUP(B68,SumOfv8!$A$1:$H$200,5,),0)</f>
        <v>0</v>
      </c>
      <c r="G68">
        <f>IFERROR(VLOOKUP(B68,SumOfv8!$A$1:$H$200,6,),0)</f>
        <v>0</v>
      </c>
      <c r="H68">
        <f>IFERROR(VLOOKUP(B68,SumOfv8!$A$1:$H$200,7,),0)</f>
        <v>0</v>
      </c>
      <c r="I68">
        <f>IFERROR(VLOOKUP(B68,SumOfv8!$A$1:$H$200,8,),0)</f>
        <v>0</v>
      </c>
    </row>
    <row r="69" spans="1:9">
      <c r="A69" t="s">
        <v>208</v>
      </c>
      <c r="B69" s="1" t="s">
        <v>205</v>
      </c>
      <c r="C69">
        <f>IFERROR(VLOOKUP(B69,SumOfv8!$A$1:$H$200,2,),0)</f>
        <v>0</v>
      </c>
      <c r="D69">
        <f>IFERROR(VLOOKUP(B69,SumOfv8!$A$1:$H$200,3,),0)</f>
        <v>0</v>
      </c>
      <c r="E69">
        <f>IFERROR(VLOOKUP(B69,SumOfv8!$A$1:$H$200,4,),0)</f>
        <v>0</v>
      </c>
      <c r="F69">
        <f>IFERROR(VLOOKUP(B69,SumOfv8!$A$1:$H$200,5,),0)</f>
        <v>0</v>
      </c>
      <c r="G69">
        <f>IFERROR(VLOOKUP(B69,SumOfv8!$A$1:$H$200,6,),0)</f>
        <v>0</v>
      </c>
      <c r="H69">
        <f>IFERROR(VLOOKUP(B69,SumOfv8!$A$1:$H$200,7,),0)</f>
        <v>0</v>
      </c>
      <c r="I69">
        <f>IFERROR(VLOOKUP(B69,SumOfv8!$A$1:$H$200,8,),0)</f>
        <v>0</v>
      </c>
    </row>
    <row r="70" spans="1:9">
      <c r="A70" t="s">
        <v>193</v>
      </c>
      <c r="B70" s="1" t="s">
        <v>63</v>
      </c>
      <c r="C70">
        <f>IFERROR(VLOOKUP(B70,SumOfv8!$A$1:$H$200,2,),0)</f>
        <v>0</v>
      </c>
      <c r="D70">
        <f>IFERROR(VLOOKUP(B70,SumOfv8!$A$1:$H$200,3,),0)</f>
        <v>0</v>
      </c>
      <c r="E70">
        <f>IFERROR(VLOOKUP(B70,SumOfv8!$A$1:$H$200,4,),0)</f>
        <v>0</v>
      </c>
      <c r="F70">
        <f>IFERROR(VLOOKUP(B70,SumOfv8!$A$1:$H$200,5,),0)</f>
        <v>0</v>
      </c>
      <c r="G70">
        <f>IFERROR(VLOOKUP(B70,SumOfv8!$A$1:$H$200,6,),0)</f>
        <v>0</v>
      </c>
      <c r="H70">
        <f>IFERROR(VLOOKUP(B70,SumOfv8!$A$1:$H$200,7,),0)</f>
        <v>0</v>
      </c>
      <c r="I70">
        <f>IFERROR(VLOOKUP(B70,SumOfv8!$A$1:$H$200,8,),0)</f>
        <v>0</v>
      </c>
    </row>
    <row r="71" spans="1:9">
      <c r="A71" t="s">
        <v>193</v>
      </c>
      <c r="B71" s="1" t="s">
        <v>64</v>
      </c>
      <c r="C71">
        <f>IFERROR(VLOOKUP(B71,SumOfv8!$A$1:$H$200,2,),0)</f>
        <v>0</v>
      </c>
      <c r="D71">
        <f>IFERROR(VLOOKUP(B71,SumOfv8!$A$1:$H$200,3,),0)</f>
        <v>0</v>
      </c>
      <c r="E71">
        <f>IFERROR(VLOOKUP(B71,SumOfv8!$A$1:$H$200,4,),0)</f>
        <v>0</v>
      </c>
      <c r="F71">
        <f>IFERROR(VLOOKUP(B71,SumOfv8!$A$1:$H$200,5,),0)</f>
        <v>0</v>
      </c>
      <c r="G71">
        <f>IFERROR(VLOOKUP(B71,SumOfv8!$A$1:$H$200,6,),0)</f>
        <v>0</v>
      </c>
      <c r="H71">
        <f>IFERROR(VLOOKUP(B71,SumOfv8!$A$1:$H$200,7,),0)</f>
        <v>0</v>
      </c>
      <c r="I71">
        <f>IFERROR(VLOOKUP(B71,SumOfv8!$A$1:$H$200,8,),0)</f>
        <v>0</v>
      </c>
    </row>
    <row r="72" spans="1:9">
      <c r="A72" t="s">
        <v>193</v>
      </c>
      <c r="B72" s="1" t="s">
        <v>65</v>
      </c>
      <c r="C72">
        <f>IFERROR(VLOOKUP(B72,SumOfv8!$A$1:$H$200,2,),0)</f>
        <v>0</v>
      </c>
      <c r="D72">
        <f>IFERROR(VLOOKUP(B72,SumOfv8!$A$1:$H$200,3,),0)</f>
        <v>0</v>
      </c>
      <c r="E72">
        <f>IFERROR(VLOOKUP(B72,SumOfv8!$A$1:$H$200,4,),0)</f>
        <v>0</v>
      </c>
      <c r="F72">
        <f>IFERROR(VLOOKUP(B72,SumOfv8!$A$1:$H$200,5,),0)</f>
        <v>0</v>
      </c>
      <c r="G72">
        <f>IFERROR(VLOOKUP(B72,SumOfv8!$A$1:$H$200,6,),0)</f>
        <v>0</v>
      </c>
      <c r="H72">
        <f>IFERROR(VLOOKUP(B72,SumOfv8!$A$1:$H$200,7,),0)</f>
        <v>0</v>
      </c>
      <c r="I72">
        <f>IFERROR(VLOOKUP(B72,SumOfv8!$A$1:$H$200,8,),0)</f>
        <v>0</v>
      </c>
    </row>
    <row r="73" spans="1:9">
      <c r="A73" t="s">
        <v>193</v>
      </c>
      <c r="B73" s="1" t="s">
        <v>66</v>
      </c>
      <c r="C73">
        <f>IFERROR(VLOOKUP(B73,SumOfv8!$A$1:$H$200,2,),0)</f>
        <v>0</v>
      </c>
      <c r="D73">
        <f>IFERROR(VLOOKUP(B73,SumOfv8!$A$1:$H$200,3,),0)</f>
        <v>0</v>
      </c>
      <c r="E73">
        <f>IFERROR(VLOOKUP(B73,SumOfv8!$A$1:$H$200,4,),0)</f>
        <v>0</v>
      </c>
      <c r="F73">
        <f>IFERROR(VLOOKUP(B73,SumOfv8!$A$1:$H$200,5,),0)</f>
        <v>0</v>
      </c>
      <c r="G73">
        <f>IFERROR(VLOOKUP(B73,SumOfv8!$A$1:$H$200,6,),0)</f>
        <v>0</v>
      </c>
      <c r="H73">
        <f>IFERROR(VLOOKUP(B73,SumOfv8!$A$1:$H$200,7,),0)</f>
        <v>0</v>
      </c>
      <c r="I73">
        <f>IFERROR(VLOOKUP(B73,SumOfv8!$A$1:$H$200,8,),0)</f>
        <v>0</v>
      </c>
    </row>
    <row r="74" spans="1:9">
      <c r="A74" t="s">
        <v>193</v>
      </c>
      <c r="B74" s="1" t="s">
        <v>67</v>
      </c>
      <c r="C74">
        <f>IFERROR(VLOOKUP(B74,SumOfv8!$A$1:$H$200,2,),0)</f>
        <v>0</v>
      </c>
      <c r="D74">
        <f>IFERROR(VLOOKUP(B74,SumOfv8!$A$1:$H$200,3,),0)</f>
        <v>0</v>
      </c>
      <c r="E74">
        <f>IFERROR(VLOOKUP(B74,SumOfv8!$A$1:$H$200,4,),0)</f>
        <v>0</v>
      </c>
      <c r="F74">
        <f>IFERROR(VLOOKUP(B74,SumOfv8!$A$1:$H$200,5,),0)</f>
        <v>0</v>
      </c>
      <c r="G74">
        <f>IFERROR(VLOOKUP(B74,SumOfv8!$A$1:$H$200,6,),0)</f>
        <v>0</v>
      </c>
      <c r="H74">
        <f>IFERROR(VLOOKUP(B74,SumOfv8!$A$1:$H$200,7,),0)</f>
        <v>0</v>
      </c>
      <c r="I74">
        <f>IFERROR(VLOOKUP(B74,SumOfv8!$A$1:$H$200,8,),0)</f>
        <v>0</v>
      </c>
    </row>
    <row r="75" spans="1:9">
      <c r="A75" t="s">
        <v>193</v>
      </c>
      <c r="B75" s="1" t="s">
        <v>68</v>
      </c>
      <c r="C75">
        <f>IFERROR(VLOOKUP(B75,SumOfv8!$A$1:$H$200,2,),0)</f>
        <v>0</v>
      </c>
      <c r="D75">
        <f>IFERROR(VLOOKUP(B75,SumOfv8!$A$1:$H$200,3,),0)</f>
        <v>0</v>
      </c>
      <c r="E75">
        <f>IFERROR(VLOOKUP(B75,SumOfv8!$A$1:$H$200,4,),0)</f>
        <v>0</v>
      </c>
      <c r="F75">
        <f>IFERROR(VLOOKUP(B75,SumOfv8!$A$1:$H$200,5,),0)</f>
        <v>0</v>
      </c>
      <c r="G75">
        <f>IFERROR(VLOOKUP(B75,SumOfv8!$A$1:$H$200,6,),0)</f>
        <v>0</v>
      </c>
      <c r="H75">
        <f>IFERROR(VLOOKUP(B75,SumOfv8!$A$1:$H$200,7,),0)</f>
        <v>0</v>
      </c>
      <c r="I75">
        <f>IFERROR(VLOOKUP(B75,SumOfv8!$A$1:$H$200,8,),0)</f>
        <v>0</v>
      </c>
    </row>
    <row r="76" spans="1:9">
      <c r="A76" t="s">
        <v>193</v>
      </c>
      <c r="B76" s="1" t="s">
        <v>69</v>
      </c>
      <c r="C76">
        <f>IFERROR(VLOOKUP(B76,SumOfv8!$A$1:$H$200,2,),0)</f>
        <v>0</v>
      </c>
      <c r="D76">
        <f>IFERROR(VLOOKUP(B76,SumOfv8!$A$1:$H$200,3,),0)</f>
        <v>0</v>
      </c>
      <c r="E76">
        <f>IFERROR(VLOOKUP(B76,SumOfv8!$A$1:$H$200,4,),0)</f>
        <v>0</v>
      </c>
      <c r="F76">
        <f>IFERROR(VLOOKUP(B76,SumOfv8!$A$1:$H$200,5,),0)</f>
        <v>0</v>
      </c>
      <c r="G76">
        <f>IFERROR(VLOOKUP(B76,SumOfv8!$A$1:$H$200,6,),0)</f>
        <v>0</v>
      </c>
      <c r="H76">
        <f>IFERROR(VLOOKUP(B76,SumOfv8!$A$1:$H$200,7,),0)</f>
        <v>0</v>
      </c>
      <c r="I76">
        <f>IFERROR(VLOOKUP(B76,SumOfv8!$A$1:$H$200,8,),0)</f>
        <v>0</v>
      </c>
    </row>
    <row r="77" spans="1:9">
      <c r="A77" t="s">
        <v>192</v>
      </c>
      <c r="B77" s="1" t="s">
        <v>70</v>
      </c>
      <c r="C77">
        <f>IFERROR(VLOOKUP(B77,SumOfv8!$A$1:$H$200,2,),0)</f>
        <v>0</v>
      </c>
      <c r="D77">
        <f>IFERROR(VLOOKUP(B77,SumOfv8!$A$1:$H$200,3,),0)</f>
        <v>0</v>
      </c>
      <c r="E77">
        <f>IFERROR(VLOOKUP(B77,SumOfv8!$A$1:$H$200,4,),0)</f>
        <v>0</v>
      </c>
      <c r="F77">
        <f>IFERROR(VLOOKUP(B77,SumOfv8!$A$1:$H$200,5,),0)</f>
        <v>0</v>
      </c>
      <c r="G77">
        <f>IFERROR(VLOOKUP(B77,SumOfv8!$A$1:$H$200,6,),0)</f>
        <v>0</v>
      </c>
      <c r="H77">
        <f>IFERROR(VLOOKUP(B77,SumOfv8!$A$1:$H$200,7,),0)</f>
        <v>0</v>
      </c>
      <c r="I77">
        <f>IFERROR(VLOOKUP(B77,SumOfv8!$A$1:$H$200,8,),0)</f>
        <v>0</v>
      </c>
    </row>
    <row r="78" spans="1:9">
      <c r="A78" t="s">
        <v>192</v>
      </c>
      <c r="B78" s="1" t="s">
        <v>71</v>
      </c>
      <c r="C78">
        <f>IFERROR(VLOOKUP(B78,SumOfv8!$A$1:$H$200,2,),0)</f>
        <v>0</v>
      </c>
      <c r="D78">
        <f>IFERROR(VLOOKUP(B78,SumOfv8!$A$1:$H$200,3,),0)</f>
        <v>0</v>
      </c>
      <c r="E78">
        <f>IFERROR(VLOOKUP(B78,SumOfv8!$A$1:$H$200,4,),0)</f>
        <v>0</v>
      </c>
      <c r="F78">
        <f>IFERROR(VLOOKUP(B78,SumOfv8!$A$1:$H$200,5,),0)</f>
        <v>0</v>
      </c>
      <c r="G78">
        <f>IFERROR(VLOOKUP(B78,SumOfv8!$A$1:$H$200,6,),0)</f>
        <v>0</v>
      </c>
      <c r="H78">
        <f>IFERROR(VLOOKUP(B78,SumOfv8!$A$1:$H$200,7,),0)</f>
        <v>0</v>
      </c>
      <c r="I78">
        <f>IFERROR(VLOOKUP(B78,SumOfv8!$A$1:$H$200,8,),0)</f>
        <v>0</v>
      </c>
    </row>
    <row r="79" spans="1:9">
      <c r="A79" t="s">
        <v>192</v>
      </c>
      <c r="B79" s="1" t="s">
        <v>72</v>
      </c>
      <c r="C79">
        <f>IFERROR(VLOOKUP(B79,SumOfv8!$A$1:$H$200,2,),0)</f>
        <v>0</v>
      </c>
      <c r="D79">
        <f>IFERROR(VLOOKUP(B79,SumOfv8!$A$1:$H$200,3,),0)</f>
        <v>0</v>
      </c>
      <c r="E79">
        <f>IFERROR(VLOOKUP(B79,SumOfv8!$A$1:$H$200,4,),0)</f>
        <v>0</v>
      </c>
      <c r="F79">
        <f>IFERROR(VLOOKUP(B79,SumOfv8!$A$1:$H$200,5,),0)</f>
        <v>0</v>
      </c>
      <c r="G79">
        <f>IFERROR(VLOOKUP(B79,SumOfv8!$A$1:$H$200,6,),0)</f>
        <v>0</v>
      </c>
      <c r="H79">
        <f>IFERROR(VLOOKUP(B79,SumOfv8!$A$1:$H$200,7,),0)</f>
        <v>0</v>
      </c>
      <c r="I79">
        <f>IFERROR(VLOOKUP(B79,SumOfv8!$A$1:$H$200,8,),0)</f>
        <v>0</v>
      </c>
    </row>
    <row r="80" spans="1:9">
      <c r="A80" t="s">
        <v>192</v>
      </c>
      <c r="B80" s="1" t="s">
        <v>73</v>
      </c>
      <c r="C80">
        <f>IFERROR(VLOOKUP(B80,SumOfv8!$A$1:$H$200,2,),0)</f>
        <v>0</v>
      </c>
      <c r="D80">
        <f>IFERROR(VLOOKUP(B80,SumOfv8!$A$1:$H$200,3,),0)</f>
        <v>0</v>
      </c>
      <c r="E80">
        <f>IFERROR(VLOOKUP(B80,SumOfv8!$A$1:$H$200,4,),0)</f>
        <v>0</v>
      </c>
      <c r="F80">
        <f>IFERROR(VLOOKUP(B80,SumOfv8!$A$1:$H$200,5,),0)</f>
        <v>0</v>
      </c>
      <c r="G80">
        <f>IFERROR(VLOOKUP(B80,SumOfv8!$A$1:$H$200,6,),0)</f>
        <v>0</v>
      </c>
      <c r="H80">
        <f>IFERROR(VLOOKUP(B80,SumOfv8!$A$1:$H$200,7,),0)</f>
        <v>0</v>
      </c>
      <c r="I80">
        <f>IFERROR(VLOOKUP(B80,SumOfv8!$A$1:$H$200,8,),0)</f>
        <v>0</v>
      </c>
    </row>
    <row r="81" spans="1:9">
      <c r="A81" t="s">
        <v>192</v>
      </c>
      <c r="B81" s="1" t="s">
        <v>74</v>
      </c>
      <c r="C81">
        <f>IFERROR(VLOOKUP(B81,SumOfv8!$A$1:$H$200,2,),0)</f>
        <v>0</v>
      </c>
      <c r="D81">
        <f>IFERROR(VLOOKUP(B81,SumOfv8!$A$1:$H$200,3,),0)</f>
        <v>0</v>
      </c>
      <c r="E81">
        <f>IFERROR(VLOOKUP(B81,SumOfv8!$A$1:$H$200,4,),0)</f>
        <v>0</v>
      </c>
      <c r="F81">
        <f>IFERROR(VLOOKUP(B81,SumOfv8!$A$1:$H$200,5,),0)</f>
        <v>0</v>
      </c>
      <c r="G81">
        <f>IFERROR(VLOOKUP(B81,SumOfv8!$A$1:$H$200,6,),0)</f>
        <v>0</v>
      </c>
      <c r="H81">
        <f>IFERROR(VLOOKUP(B81,SumOfv8!$A$1:$H$200,7,),0)</f>
        <v>0</v>
      </c>
      <c r="I81">
        <f>IFERROR(VLOOKUP(B81,SumOfv8!$A$1:$H$200,8,),0)</f>
        <v>0</v>
      </c>
    </row>
    <row r="82" spans="1:9">
      <c r="A82" t="s">
        <v>192</v>
      </c>
      <c r="B82" s="1" t="s">
        <v>75</v>
      </c>
      <c r="C82">
        <f>IFERROR(VLOOKUP(B82,SumOfv8!$A$1:$H$200,2,),0)</f>
        <v>0</v>
      </c>
      <c r="D82">
        <f>IFERROR(VLOOKUP(B82,SumOfv8!$A$1:$H$200,3,),0)</f>
        <v>0</v>
      </c>
      <c r="E82">
        <f>IFERROR(VLOOKUP(B82,SumOfv8!$A$1:$H$200,4,),0)</f>
        <v>0</v>
      </c>
      <c r="F82">
        <f>IFERROR(VLOOKUP(B82,SumOfv8!$A$1:$H$200,5,),0)</f>
        <v>0</v>
      </c>
      <c r="G82">
        <f>IFERROR(VLOOKUP(B82,SumOfv8!$A$1:$H$200,6,),0)</f>
        <v>0</v>
      </c>
      <c r="H82">
        <f>IFERROR(VLOOKUP(B82,SumOfv8!$A$1:$H$200,7,),0)</f>
        <v>0</v>
      </c>
      <c r="I82">
        <f>IFERROR(VLOOKUP(B82,SumOfv8!$A$1:$H$200,8,),0)</f>
        <v>0</v>
      </c>
    </row>
    <row r="83" spans="1:9">
      <c r="A83" t="s">
        <v>192</v>
      </c>
      <c r="B83" s="1" t="s">
        <v>76</v>
      </c>
      <c r="C83">
        <f>IFERROR(VLOOKUP(B83,SumOfv8!$A$1:$H$200,2,),0)</f>
        <v>0</v>
      </c>
      <c r="D83">
        <f>IFERROR(VLOOKUP(B83,SumOfv8!$A$1:$H$200,3,),0)</f>
        <v>0</v>
      </c>
      <c r="E83">
        <f>IFERROR(VLOOKUP(B83,SumOfv8!$A$1:$H$200,4,),0)</f>
        <v>0</v>
      </c>
      <c r="F83">
        <f>IFERROR(VLOOKUP(B83,SumOfv8!$A$1:$H$200,5,),0)</f>
        <v>0</v>
      </c>
      <c r="G83">
        <f>IFERROR(VLOOKUP(B83,SumOfv8!$A$1:$H$200,6,),0)</f>
        <v>0</v>
      </c>
      <c r="H83">
        <f>IFERROR(VLOOKUP(B83,SumOfv8!$A$1:$H$200,7,),0)</f>
        <v>0</v>
      </c>
      <c r="I83">
        <f>IFERROR(VLOOKUP(B83,SumOfv8!$A$1:$H$200,8,),0)</f>
        <v>0</v>
      </c>
    </row>
    <row r="84" spans="1:9">
      <c r="A84" t="s">
        <v>192</v>
      </c>
      <c r="B84" s="1" t="s">
        <v>77</v>
      </c>
      <c r="C84">
        <f>IFERROR(VLOOKUP(B84,SumOfv8!$A$1:$H$200,2,),0)</f>
        <v>0</v>
      </c>
      <c r="D84">
        <f>IFERROR(VLOOKUP(B84,SumOfv8!$A$1:$H$200,3,),0)</f>
        <v>0</v>
      </c>
      <c r="E84">
        <f>IFERROR(VLOOKUP(B84,SumOfv8!$A$1:$H$200,4,),0)</f>
        <v>0</v>
      </c>
      <c r="F84">
        <f>IFERROR(VLOOKUP(B84,SumOfv8!$A$1:$H$200,5,),0)</f>
        <v>0</v>
      </c>
      <c r="G84">
        <f>IFERROR(VLOOKUP(B84,SumOfv8!$A$1:$H$200,6,),0)</f>
        <v>0</v>
      </c>
      <c r="H84">
        <f>IFERROR(VLOOKUP(B84,SumOfv8!$A$1:$H$200,7,),0)</f>
        <v>0</v>
      </c>
      <c r="I84">
        <f>IFERROR(VLOOKUP(B84,SumOfv8!$A$1:$H$200,8,),0)</f>
        <v>0</v>
      </c>
    </row>
    <row r="85" spans="1:9">
      <c r="A85" t="s">
        <v>192</v>
      </c>
      <c r="B85" s="1" t="s">
        <v>78</v>
      </c>
      <c r="C85">
        <f>IFERROR(VLOOKUP(B85,SumOfv8!$A$1:$H$200,2,),0)</f>
        <v>0</v>
      </c>
      <c r="D85">
        <f>IFERROR(VLOOKUP(B85,SumOfv8!$A$1:$H$200,3,),0)</f>
        <v>0</v>
      </c>
      <c r="E85">
        <f>IFERROR(VLOOKUP(B85,SumOfv8!$A$1:$H$200,4,),0)</f>
        <v>0</v>
      </c>
      <c r="F85">
        <f>IFERROR(VLOOKUP(B85,SumOfv8!$A$1:$H$200,5,),0)</f>
        <v>0</v>
      </c>
      <c r="G85">
        <f>IFERROR(VLOOKUP(B85,SumOfv8!$A$1:$H$200,6,),0)</f>
        <v>0</v>
      </c>
      <c r="H85">
        <f>IFERROR(VLOOKUP(B85,SumOfv8!$A$1:$H$200,7,),0)</f>
        <v>0</v>
      </c>
      <c r="I85">
        <f>IFERROR(VLOOKUP(B85,SumOfv8!$A$1:$H$200,8,),0)</f>
        <v>0</v>
      </c>
    </row>
    <row r="86" spans="1:9">
      <c r="A86" t="s">
        <v>192</v>
      </c>
      <c r="B86" s="1" t="s">
        <v>79</v>
      </c>
      <c r="C86">
        <f>IFERROR(VLOOKUP(B86,SumOfv8!$A$1:$H$200,2,),0)</f>
        <v>0</v>
      </c>
      <c r="D86">
        <f>IFERROR(VLOOKUP(B86,SumOfv8!$A$1:$H$200,3,),0)</f>
        <v>0</v>
      </c>
      <c r="E86">
        <f>IFERROR(VLOOKUP(B86,SumOfv8!$A$1:$H$200,4,),0)</f>
        <v>0</v>
      </c>
      <c r="F86">
        <f>IFERROR(VLOOKUP(B86,SumOfv8!$A$1:$H$200,5,),0)</f>
        <v>0</v>
      </c>
      <c r="G86">
        <f>IFERROR(VLOOKUP(B86,SumOfv8!$A$1:$H$200,6,),0)</f>
        <v>0</v>
      </c>
      <c r="H86">
        <f>IFERROR(VLOOKUP(B86,SumOfv8!$A$1:$H$200,7,),0)</f>
        <v>0</v>
      </c>
      <c r="I86">
        <f>IFERROR(VLOOKUP(B86,SumOfv8!$A$1:$H$200,8,),0)</f>
        <v>0</v>
      </c>
    </row>
    <row r="87" spans="1:9">
      <c r="A87" t="s">
        <v>192</v>
      </c>
      <c r="B87" s="1" t="s">
        <v>80</v>
      </c>
      <c r="C87">
        <f>IFERROR(VLOOKUP(B87,SumOfv8!$A$1:$H$200,2,),0)</f>
        <v>0</v>
      </c>
      <c r="D87">
        <f>IFERROR(VLOOKUP(B87,SumOfv8!$A$1:$H$200,3,),0)</f>
        <v>0</v>
      </c>
      <c r="E87">
        <f>IFERROR(VLOOKUP(B87,SumOfv8!$A$1:$H$200,4,),0)</f>
        <v>0</v>
      </c>
      <c r="F87">
        <f>IFERROR(VLOOKUP(B87,SumOfv8!$A$1:$H$200,5,),0)</f>
        <v>0</v>
      </c>
      <c r="G87">
        <f>IFERROR(VLOOKUP(B87,SumOfv8!$A$1:$H$200,6,),0)</f>
        <v>0</v>
      </c>
      <c r="H87">
        <f>IFERROR(VLOOKUP(B87,SumOfv8!$A$1:$H$200,7,),0)</f>
        <v>0</v>
      </c>
      <c r="I87">
        <f>IFERROR(VLOOKUP(B87,SumOfv8!$A$1:$H$200,8,),0)</f>
        <v>0</v>
      </c>
    </row>
    <row r="88" spans="1:9">
      <c r="A88" t="s">
        <v>192</v>
      </c>
      <c r="B88" s="1" t="s">
        <v>81</v>
      </c>
      <c r="C88">
        <f>IFERROR(VLOOKUP(B88,SumOfv8!$A$1:$H$200,2,),0)</f>
        <v>0</v>
      </c>
      <c r="D88">
        <f>IFERROR(VLOOKUP(B88,SumOfv8!$A$1:$H$200,3,),0)</f>
        <v>0</v>
      </c>
      <c r="E88">
        <f>IFERROR(VLOOKUP(B88,SumOfv8!$A$1:$H$200,4,),0)</f>
        <v>0</v>
      </c>
      <c r="F88">
        <f>IFERROR(VLOOKUP(B88,SumOfv8!$A$1:$H$200,5,),0)</f>
        <v>0</v>
      </c>
      <c r="G88">
        <f>IFERROR(VLOOKUP(B88,SumOfv8!$A$1:$H$200,6,),0)</f>
        <v>0</v>
      </c>
      <c r="H88">
        <f>IFERROR(VLOOKUP(B88,SumOfv8!$A$1:$H$200,7,),0)</f>
        <v>0</v>
      </c>
      <c r="I88">
        <f>IFERROR(VLOOKUP(B88,SumOfv8!$A$1:$H$200,8,),0)</f>
        <v>0</v>
      </c>
    </row>
    <row r="89" spans="1:9">
      <c r="A89" t="s">
        <v>192</v>
      </c>
      <c r="B89" s="1" t="s">
        <v>82</v>
      </c>
      <c r="C89">
        <f>IFERROR(VLOOKUP(B89,SumOfv8!$A$1:$H$200,2,),0)</f>
        <v>0</v>
      </c>
      <c r="D89">
        <f>IFERROR(VLOOKUP(B89,SumOfv8!$A$1:$H$200,3,),0)</f>
        <v>0</v>
      </c>
      <c r="E89">
        <f>IFERROR(VLOOKUP(B89,SumOfv8!$A$1:$H$200,4,),0)</f>
        <v>0</v>
      </c>
      <c r="F89">
        <f>IFERROR(VLOOKUP(B89,SumOfv8!$A$1:$H$200,5,),0)</f>
        <v>0</v>
      </c>
      <c r="G89">
        <f>IFERROR(VLOOKUP(B89,SumOfv8!$A$1:$H$200,6,),0)</f>
        <v>0</v>
      </c>
      <c r="H89">
        <f>IFERROR(VLOOKUP(B89,SumOfv8!$A$1:$H$200,7,),0)</f>
        <v>0</v>
      </c>
      <c r="I89">
        <f>IFERROR(VLOOKUP(B89,SumOfv8!$A$1:$H$200,8,),0)</f>
        <v>0</v>
      </c>
    </row>
    <row r="90" spans="1:9">
      <c r="A90" t="s">
        <v>192</v>
      </c>
      <c r="B90" s="1" t="s">
        <v>83</v>
      </c>
      <c r="C90">
        <f>IFERROR(VLOOKUP(B90,SumOfv8!$A$1:$H$200,2,),0)</f>
        <v>0</v>
      </c>
      <c r="D90">
        <f>IFERROR(VLOOKUP(B90,SumOfv8!$A$1:$H$200,3,),0)</f>
        <v>0</v>
      </c>
      <c r="E90">
        <f>IFERROR(VLOOKUP(B90,SumOfv8!$A$1:$H$200,4,),0)</f>
        <v>0</v>
      </c>
      <c r="F90">
        <f>IFERROR(VLOOKUP(B90,SumOfv8!$A$1:$H$200,5,),0)</f>
        <v>0</v>
      </c>
      <c r="G90">
        <f>IFERROR(VLOOKUP(B90,SumOfv8!$A$1:$H$200,6,),0)</f>
        <v>0</v>
      </c>
      <c r="H90">
        <f>IFERROR(VLOOKUP(B90,SumOfv8!$A$1:$H$200,7,),0)</f>
        <v>0</v>
      </c>
      <c r="I90">
        <f>IFERROR(VLOOKUP(B90,SumOfv8!$A$1:$H$200,8,),0)</f>
        <v>0</v>
      </c>
    </row>
    <row r="91" spans="1:9">
      <c r="A91" t="s">
        <v>192</v>
      </c>
      <c r="B91" s="1" t="s">
        <v>223</v>
      </c>
      <c r="C91">
        <f>IFERROR(VLOOKUP(B91,SumOfv8!$A$1:$H$200,2,),0)</f>
        <v>0</v>
      </c>
      <c r="D91">
        <f>IFERROR(VLOOKUP(B91,SumOfv8!$A$1:$H$200,3,),0)</f>
        <v>0</v>
      </c>
      <c r="E91">
        <f>IFERROR(VLOOKUP(B91,SumOfv8!$A$1:$H$200,4,),0)</f>
        <v>0</v>
      </c>
      <c r="F91">
        <f>IFERROR(VLOOKUP(B91,SumOfv8!$A$1:$H$200,5,),0)</f>
        <v>0</v>
      </c>
      <c r="G91">
        <f>IFERROR(VLOOKUP(B91,SumOfv8!$A$1:$H$200,6,),0)</f>
        <v>0</v>
      </c>
      <c r="H91">
        <f>IFERROR(VLOOKUP(B91,SumOfv8!$A$1:$H$200,7,),0)</f>
        <v>0</v>
      </c>
      <c r="I91">
        <f>IFERROR(VLOOKUP(B91,SumOfv8!$A$1:$H$200,8,),0)</f>
        <v>0</v>
      </c>
    </row>
    <row r="92" spans="1:9">
      <c r="A92" t="s">
        <v>191</v>
      </c>
      <c r="B92" s="1" t="s">
        <v>222</v>
      </c>
      <c r="C92">
        <f>IFERROR(VLOOKUP(B92,SumOfv8!$A$1:$H$200,2,),0)</f>
        <v>0</v>
      </c>
      <c r="D92">
        <f>IFERROR(VLOOKUP(B92,SumOfv8!$A$1:$H$200,3,),0)</f>
        <v>0</v>
      </c>
      <c r="E92">
        <f>IFERROR(VLOOKUP(B92,SumOfv8!$A$1:$H$200,4,),0)</f>
        <v>0</v>
      </c>
      <c r="F92">
        <f>IFERROR(VLOOKUP(B92,SumOfv8!$A$1:$H$200,5,),0)</f>
        <v>0</v>
      </c>
      <c r="G92">
        <f>IFERROR(VLOOKUP(B92,SumOfv8!$A$1:$H$200,6,),0)</f>
        <v>0</v>
      </c>
      <c r="H92">
        <f>IFERROR(VLOOKUP(B92,SumOfv8!$A$1:$H$200,7,),0)</f>
        <v>0</v>
      </c>
      <c r="I92">
        <f>IFERROR(VLOOKUP(B92,SumOfv8!$A$1:$H$200,8,),0)</f>
        <v>0</v>
      </c>
    </row>
    <row r="93" spans="1:9">
      <c r="A93" t="s">
        <v>191</v>
      </c>
      <c r="B93" s="1" t="s">
        <v>84</v>
      </c>
      <c r="C93">
        <f>IFERROR(VLOOKUP(B93,SumOfv8!$A$1:$H$200,2,),0)</f>
        <v>0</v>
      </c>
      <c r="D93">
        <f>IFERROR(VLOOKUP(B93,SumOfv8!$A$1:$H$200,3,),0)</f>
        <v>0</v>
      </c>
      <c r="E93">
        <f>IFERROR(VLOOKUP(B93,SumOfv8!$A$1:$H$200,4,),0)</f>
        <v>0</v>
      </c>
      <c r="F93">
        <f>IFERROR(VLOOKUP(B93,SumOfv8!$A$1:$H$200,5,),0)</f>
        <v>0</v>
      </c>
      <c r="G93">
        <f>IFERROR(VLOOKUP(B93,SumOfv8!$A$1:$H$200,6,),0)</f>
        <v>0</v>
      </c>
      <c r="H93">
        <f>IFERROR(VLOOKUP(B93,SumOfv8!$A$1:$H$200,7,),0)</f>
        <v>0</v>
      </c>
      <c r="I93">
        <f>IFERROR(VLOOKUP(B93,SumOfv8!$A$1:$H$200,8,),0)</f>
        <v>0</v>
      </c>
    </row>
    <row r="94" spans="1:9">
      <c r="A94" t="s">
        <v>191</v>
      </c>
      <c r="B94" s="1" t="s">
        <v>85</v>
      </c>
      <c r="C94">
        <f>IFERROR(VLOOKUP(B94,SumOfv8!$A$1:$H$200,2,),0)</f>
        <v>0</v>
      </c>
      <c r="D94">
        <f>IFERROR(VLOOKUP(B94,SumOfv8!$A$1:$H$200,3,),0)</f>
        <v>0</v>
      </c>
      <c r="E94">
        <f>IFERROR(VLOOKUP(B94,SumOfv8!$A$1:$H$200,4,),0)</f>
        <v>0</v>
      </c>
      <c r="F94">
        <f>IFERROR(VLOOKUP(B94,SumOfv8!$A$1:$H$200,5,),0)</f>
        <v>0</v>
      </c>
      <c r="G94">
        <f>IFERROR(VLOOKUP(B94,SumOfv8!$A$1:$H$200,6,),0)</f>
        <v>0</v>
      </c>
      <c r="H94">
        <f>IFERROR(VLOOKUP(B94,SumOfv8!$A$1:$H$200,7,),0)</f>
        <v>0</v>
      </c>
      <c r="I94">
        <f>IFERROR(VLOOKUP(B94,SumOfv8!$A$1:$H$200,8,),0)</f>
        <v>0</v>
      </c>
    </row>
    <row r="95" spans="1:9">
      <c r="A95" t="s">
        <v>191</v>
      </c>
      <c r="B95" s="1" t="s">
        <v>86</v>
      </c>
      <c r="C95">
        <f>IFERROR(VLOOKUP(B95,SumOfv8!$A$1:$H$200,2,),0)</f>
        <v>0</v>
      </c>
      <c r="D95">
        <f>IFERROR(VLOOKUP(B95,SumOfv8!$A$1:$H$200,3,),0)</f>
        <v>0</v>
      </c>
      <c r="E95">
        <f>IFERROR(VLOOKUP(B95,SumOfv8!$A$1:$H$200,4,),0)</f>
        <v>0</v>
      </c>
      <c r="F95">
        <f>IFERROR(VLOOKUP(B95,SumOfv8!$A$1:$H$200,5,),0)</f>
        <v>0</v>
      </c>
      <c r="G95">
        <f>IFERROR(VLOOKUP(B95,SumOfv8!$A$1:$H$200,6,),0)</f>
        <v>0</v>
      </c>
      <c r="H95">
        <f>IFERROR(VLOOKUP(B95,SumOfv8!$A$1:$H$200,7,),0)</f>
        <v>0</v>
      </c>
      <c r="I95">
        <f>IFERROR(VLOOKUP(B95,SumOfv8!$A$1:$H$200,8,),0)</f>
        <v>0</v>
      </c>
    </row>
    <row r="96" spans="1:9">
      <c r="A96" t="s">
        <v>191</v>
      </c>
      <c r="B96" s="1" t="s">
        <v>87</v>
      </c>
      <c r="C96">
        <f>IFERROR(VLOOKUP(B96,SumOfv8!$A$1:$H$200,2,),0)</f>
        <v>0</v>
      </c>
      <c r="D96">
        <f>IFERROR(VLOOKUP(B96,SumOfv8!$A$1:$H$200,3,),0)</f>
        <v>0</v>
      </c>
      <c r="E96">
        <f>IFERROR(VLOOKUP(B96,SumOfv8!$A$1:$H$200,4,),0)</f>
        <v>0</v>
      </c>
      <c r="F96">
        <f>IFERROR(VLOOKUP(B96,SumOfv8!$A$1:$H$200,5,),0)</f>
        <v>0</v>
      </c>
      <c r="G96">
        <f>IFERROR(VLOOKUP(B96,SumOfv8!$A$1:$H$200,6,),0)</f>
        <v>0</v>
      </c>
      <c r="H96">
        <f>IFERROR(VLOOKUP(B96,SumOfv8!$A$1:$H$200,7,),0)</f>
        <v>0</v>
      </c>
      <c r="I96">
        <f>IFERROR(VLOOKUP(B96,SumOfv8!$A$1:$H$200,8,),0)</f>
        <v>0</v>
      </c>
    </row>
    <row r="97" spans="1:9">
      <c r="A97" t="s">
        <v>191</v>
      </c>
      <c r="B97" s="1" t="s">
        <v>88</v>
      </c>
      <c r="C97">
        <f>IFERROR(VLOOKUP(B97,SumOfv8!$A$1:$H$200,2,),0)</f>
        <v>0</v>
      </c>
      <c r="D97">
        <f>IFERROR(VLOOKUP(B97,SumOfv8!$A$1:$H$200,3,),0)</f>
        <v>0</v>
      </c>
      <c r="E97">
        <f>IFERROR(VLOOKUP(B97,SumOfv8!$A$1:$H$200,4,),0)</f>
        <v>0</v>
      </c>
      <c r="F97">
        <f>IFERROR(VLOOKUP(B97,SumOfv8!$A$1:$H$200,5,),0)</f>
        <v>0</v>
      </c>
      <c r="G97">
        <f>IFERROR(VLOOKUP(B97,SumOfv8!$A$1:$H$200,6,),0)</f>
        <v>0</v>
      </c>
      <c r="H97">
        <f>IFERROR(VLOOKUP(B97,SumOfv8!$A$1:$H$200,7,),0)</f>
        <v>0</v>
      </c>
      <c r="I97">
        <f>IFERROR(VLOOKUP(B97,SumOfv8!$A$1:$H$200,8,),0)</f>
        <v>0</v>
      </c>
    </row>
    <row r="98" spans="1:9">
      <c r="A98" t="s">
        <v>191</v>
      </c>
      <c r="B98" s="1" t="s">
        <v>89</v>
      </c>
      <c r="C98">
        <f>IFERROR(VLOOKUP(B98,SumOfv8!$A$1:$H$200,2,),0)</f>
        <v>0</v>
      </c>
      <c r="D98">
        <f>IFERROR(VLOOKUP(B98,SumOfv8!$A$1:$H$200,3,),0)</f>
        <v>0</v>
      </c>
      <c r="E98">
        <f>IFERROR(VLOOKUP(B98,SumOfv8!$A$1:$H$200,4,),0)</f>
        <v>0</v>
      </c>
      <c r="F98">
        <f>IFERROR(VLOOKUP(B98,SumOfv8!$A$1:$H$200,5,),0)</f>
        <v>0</v>
      </c>
      <c r="G98">
        <f>IFERROR(VLOOKUP(B98,SumOfv8!$A$1:$H$200,6,),0)</f>
        <v>0</v>
      </c>
      <c r="H98">
        <f>IFERROR(VLOOKUP(B98,SumOfv8!$A$1:$H$200,7,),0)</f>
        <v>0</v>
      </c>
      <c r="I98">
        <f>IFERROR(VLOOKUP(B98,SumOfv8!$A$1:$H$200,8,),0)</f>
        <v>0</v>
      </c>
    </row>
    <row r="99" spans="1:9">
      <c r="A99" t="s">
        <v>191</v>
      </c>
      <c r="B99" s="1" t="s">
        <v>90</v>
      </c>
      <c r="C99">
        <f>IFERROR(VLOOKUP(B99,SumOfv8!$A$1:$H$200,2,),0)</f>
        <v>0</v>
      </c>
      <c r="D99">
        <f>IFERROR(VLOOKUP(B99,SumOfv8!$A$1:$H$200,3,),0)</f>
        <v>0</v>
      </c>
      <c r="E99">
        <f>IFERROR(VLOOKUP(B99,SumOfv8!$A$1:$H$200,4,),0)</f>
        <v>0</v>
      </c>
      <c r="F99">
        <f>IFERROR(VLOOKUP(B99,SumOfv8!$A$1:$H$200,5,),0)</f>
        <v>0</v>
      </c>
      <c r="G99">
        <f>IFERROR(VLOOKUP(B99,SumOfv8!$A$1:$H$200,6,),0)</f>
        <v>0</v>
      </c>
      <c r="H99">
        <f>IFERROR(VLOOKUP(B99,SumOfv8!$A$1:$H$200,7,),0)</f>
        <v>0</v>
      </c>
      <c r="I99">
        <f>IFERROR(VLOOKUP(B99,SumOfv8!$A$1:$H$200,8,),0)</f>
        <v>0</v>
      </c>
    </row>
    <row r="100" spans="1:9">
      <c r="A100" t="s">
        <v>191</v>
      </c>
      <c r="B100" s="1" t="s">
        <v>91</v>
      </c>
      <c r="C100">
        <f>IFERROR(VLOOKUP(B100,SumOfv8!$A$1:$H$200,2,),0)</f>
        <v>0</v>
      </c>
      <c r="D100">
        <f>IFERROR(VLOOKUP(B100,SumOfv8!$A$1:$H$200,3,),0)</f>
        <v>0</v>
      </c>
      <c r="E100">
        <f>IFERROR(VLOOKUP(B100,SumOfv8!$A$1:$H$200,4,),0)</f>
        <v>0</v>
      </c>
      <c r="F100">
        <f>IFERROR(VLOOKUP(B100,SumOfv8!$A$1:$H$200,5,),0)</f>
        <v>0</v>
      </c>
      <c r="G100">
        <f>IFERROR(VLOOKUP(B100,SumOfv8!$A$1:$H$200,6,),0)</f>
        <v>0</v>
      </c>
      <c r="H100">
        <f>IFERROR(VLOOKUP(B100,SumOfv8!$A$1:$H$200,7,),0)</f>
        <v>0</v>
      </c>
      <c r="I100">
        <f>IFERROR(VLOOKUP(B100,SumOfv8!$A$1:$H$200,8,),0)</f>
        <v>0</v>
      </c>
    </row>
    <row r="101" spans="1:9">
      <c r="A101" t="s">
        <v>191</v>
      </c>
      <c r="B101" s="1" t="s">
        <v>92</v>
      </c>
      <c r="C101">
        <f>IFERROR(VLOOKUP(B101,SumOfv8!$A$1:$H$200,2,),0)</f>
        <v>0</v>
      </c>
      <c r="D101">
        <f>IFERROR(VLOOKUP(B101,SumOfv8!$A$1:$H$200,3,),0)</f>
        <v>0</v>
      </c>
      <c r="E101">
        <f>IFERROR(VLOOKUP(B101,SumOfv8!$A$1:$H$200,4,),0)</f>
        <v>0</v>
      </c>
      <c r="F101">
        <f>IFERROR(VLOOKUP(B101,SumOfv8!$A$1:$H$200,5,),0)</f>
        <v>0</v>
      </c>
      <c r="G101">
        <f>IFERROR(VLOOKUP(B101,SumOfv8!$A$1:$H$200,6,),0)</f>
        <v>0</v>
      </c>
      <c r="H101">
        <f>IFERROR(VLOOKUP(B101,SumOfv8!$A$1:$H$200,7,),0)</f>
        <v>0</v>
      </c>
      <c r="I101">
        <f>IFERROR(VLOOKUP(B101,SumOfv8!$A$1:$H$200,8,),0)</f>
        <v>0</v>
      </c>
    </row>
    <row r="102" spans="1:9">
      <c r="A102" t="s">
        <v>191</v>
      </c>
      <c r="B102" s="1" t="s">
        <v>93</v>
      </c>
      <c r="C102">
        <f>IFERROR(VLOOKUP(B102,SumOfv8!$A$1:$H$200,2,),0)</f>
        <v>0</v>
      </c>
      <c r="D102">
        <f>IFERROR(VLOOKUP(B102,SumOfv8!$A$1:$H$200,3,),0)</f>
        <v>0</v>
      </c>
      <c r="E102">
        <f>IFERROR(VLOOKUP(B102,SumOfv8!$A$1:$H$200,4,),0)</f>
        <v>0</v>
      </c>
      <c r="F102">
        <f>IFERROR(VLOOKUP(B102,SumOfv8!$A$1:$H$200,5,),0)</f>
        <v>0</v>
      </c>
      <c r="G102">
        <f>IFERROR(VLOOKUP(B102,SumOfv8!$A$1:$H$200,6,),0)</f>
        <v>0</v>
      </c>
      <c r="H102">
        <f>IFERROR(VLOOKUP(B102,SumOfv8!$A$1:$H$200,7,),0)</f>
        <v>0</v>
      </c>
      <c r="I102">
        <f>IFERROR(VLOOKUP(B102,SumOfv8!$A$1:$H$200,8,),0)</f>
        <v>0</v>
      </c>
    </row>
    <row r="103" spans="1:9">
      <c r="A103" t="s">
        <v>191</v>
      </c>
      <c r="B103" s="1" t="s">
        <v>94</v>
      </c>
      <c r="C103">
        <f>IFERROR(VLOOKUP(B103,SumOfv8!$A$1:$H$200,2,),0)</f>
        <v>0</v>
      </c>
      <c r="D103">
        <f>IFERROR(VLOOKUP(B103,SumOfv8!$A$1:$H$200,3,),0)</f>
        <v>0</v>
      </c>
      <c r="E103">
        <f>IFERROR(VLOOKUP(B103,SumOfv8!$A$1:$H$200,4,),0)</f>
        <v>0</v>
      </c>
      <c r="F103">
        <f>IFERROR(VLOOKUP(B103,SumOfv8!$A$1:$H$200,5,),0)</f>
        <v>0</v>
      </c>
      <c r="G103">
        <f>IFERROR(VLOOKUP(B103,SumOfv8!$A$1:$H$200,6,),0)</f>
        <v>0</v>
      </c>
      <c r="H103">
        <f>IFERROR(VLOOKUP(B103,SumOfv8!$A$1:$H$200,7,),0)</f>
        <v>0</v>
      </c>
      <c r="I103">
        <f>IFERROR(VLOOKUP(B103,SumOfv8!$A$1:$H$200,8,),0)</f>
        <v>0</v>
      </c>
    </row>
    <row r="104" spans="1:9">
      <c r="A104" t="s">
        <v>190</v>
      </c>
      <c r="B104" s="1" t="s">
        <v>95</v>
      </c>
      <c r="C104">
        <f>IFERROR(VLOOKUP(B104,SumOfv8!$A$1:$H$200,2,),0)</f>
        <v>0</v>
      </c>
      <c r="D104">
        <f>IFERROR(VLOOKUP(B104,SumOfv8!$A$1:$H$200,3,),0)</f>
        <v>0</v>
      </c>
      <c r="E104">
        <f>IFERROR(VLOOKUP(B104,SumOfv8!$A$1:$H$200,4,),0)</f>
        <v>0</v>
      </c>
      <c r="F104">
        <f>IFERROR(VLOOKUP(B104,SumOfv8!$A$1:$H$200,5,),0)</f>
        <v>0</v>
      </c>
      <c r="G104">
        <f>IFERROR(VLOOKUP(B104,SumOfv8!$A$1:$H$200,6,),0)</f>
        <v>0</v>
      </c>
      <c r="H104">
        <f>IFERROR(VLOOKUP(B104,SumOfv8!$A$1:$H$200,7,),0)</f>
        <v>0</v>
      </c>
      <c r="I104">
        <f>IFERROR(VLOOKUP(B104,SumOfv8!$A$1:$H$200,8,),0)</f>
        <v>0</v>
      </c>
    </row>
    <row r="105" spans="1:9">
      <c r="A105" t="s">
        <v>190</v>
      </c>
      <c r="B105" s="1" t="s">
        <v>96</v>
      </c>
      <c r="C105">
        <f>IFERROR(VLOOKUP(B105,SumOfv8!$A$1:$H$200,2,),0)</f>
        <v>0</v>
      </c>
      <c r="D105">
        <f>IFERROR(VLOOKUP(B105,SumOfv8!$A$1:$H$200,3,),0)</f>
        <v>0</v>
      </c>
      <c r="E105">
        <f>IFERROR(VLOOKUP(B105,SumOfv8!$A$1:$H$200,4,),0)</f>
        <v>0</v>
      </c>
      <c r="F105">
        <f>IFERROR(VLOOKUP(B105,SumOfv8!$A$1:$H$200,5,),0)</f>
        <v>0</v>
      </c>
      <c r="G105">
        <f>IFERROR(VLOOKUP(B105,SumOfv8!$A$1:$H$200,6,),0)</f>
        <v>0</v>
      </c>
      <c r="H105">
        <f>IFERROR(VLOOKUP(B105,SumOfv8!$A$1:$H$200,7,),0)</f>
        <v>0</v>
      </c>
      <c r="I105">
        <f>IFERROR(VLOOKUP(B105,SumOfv8!$A$1:$H$200,8,),0)</f>
        <v>0</v>
      </c>
    </row>
    <row r="106" spans="1:9">
      <c r="A106" t="s">
        <v>190</v>
      </c>
      <c r="B106" s="1" t="s">
        <v>97</v>
      </c>
      <c r="C106">
        <f>IFERROR(VLOOKUP(B106,SumOfv8!$A$1:$H$200,2,),0)</f>
        <v>0</v>
      </c>
      <c r="D106">
        <f>IFERROR(VLOOKUP(B106,SumOfv8!$A$1:$H$200,3,),0)</f>
        <v>0</v>
      </c>
      <c r="E106">
        <f>IFERROR(VLOOKUP(B106,SumOfv8!$A$1:$H$200,4,),0)</f>
        <v>0</v>
      </c>
      <c r="F106">
        <f>IFERROR(VLOOKUP(B106,SumOfv8!$A$1:$H$200,5,),0)</f>
        <v>0</v>
      </c>
      <c r="G106">
        <f>IFERROR(VLOOKUP(B106,SumOfv8!$A$1:$H$200,6,),0)</f>
        <v>0</v>
      </c>
      <c r="H106">
        <f>IFERROR(VLOOKUP(B106,SumOfv8!$A$1:$H$200,7,),0)</f>
        <v>0</v>
      </c>
      <c r="I106">
        <f>IFERROR(VLOOKUP(B106,SumOfv8!$A$1:$H$200,8,),0)</f>
        <v>0</v>
      </c>
    </row>
    <row r="107" spans="1:9">
      <c r="A107" t="s">
        <v>190</v>
      </c>
      <c r="B107" s="1" t="s">
        <v>98</v>
      </c>
      <c r="C107">
        <f>IFERROR(VLOOKUP(B107,SumOfv8!$A$1:$H$200,2,),0)</f>
        <v>0</v>
      </c>
      <c r="D107">
        <f>IFERROR(VLOOKUP(B107,SumOfv8!$A$1:$H$200,3,),0)</f>
        <v>0</v>
      </c>
      <c r="E107">
        <f>IFERROR(VLOOKUP(B107,SumOfv8!$A$1:$H$200,4,),0)</f>
        <v>0</v>
      </c>
      <c r="F107">
        <f>IFERROR(VLOOKUP(B107,SumOfv8!$A$1:$H$200,5,),0)</f>
        <v>0</v>
      </c>
      <c r="G107">
        <f>IFERROR(VLOOKUP(B107,SumOfv8!$A$1:$H$200,6,),0)</f>
        <v>0</v>
      </c>
      <c r="H107">
        <f>IFERROR(VLOOKUP(B107,SumOfv8!$A$1:$H$200,7,),0)</f>
        <v>0</v>
      </c>
      <c r="I107">
        <f>IFERROR(VLOOKUP(B107,SumOfv8!$A$1:$H$200,8,),0)</f>
        <v>0</v>
      </c>
    </row>
    <row r="108" spans="1:9">
      <c r="A108" t="s">
        <v>190</v>
      </c>
      <c r="B108" s="1" t="s">
        <v>99</v>
      </c>
      <c r="C108">
        <f>IFERROR(VLOOKUP(B108,SumOfv8!$A$1:$H$200,2,),0)</f>
        <v>0</v>
      </c>
      <c r="D108">
        <f>IFERROR(VLOOKUP(B108,SumOfv8!$A$1:$H$200,3,),0)</f>
        <v>0</v>
      </c>
      <c r="E108">
        <f>IFERROR(VLOOKUP(B108,SumOfv8!$A$1:$H$200,4,),0)</f>
        <v>0</v>
      </c>
      <c r="F108">
        <f>IFERROR(VLOOKUP(B108,SumOfv8!$A$1:$H$200,5,),0)</f>
        <v>0</v>
      </c>
      <c r="G108">
        <f>IFERROR(VLOOKUP(B108,SumOfv8!$A$1:$H$200,6,),0)</f>
        <v>0</v>
      </c>
      <c r="H108">
        <f>IFERROR(VLOOKUP(B108,SumOfv8!$A$1:$H$200,7,),0)</f>
        <v>0</v>
      </c>
      <c r="I108">
        <f>IFERROR(VLOOKUP(B108,SumOfv8!$A$1:$H$200,8,),0)</f>
        <v>0</v>
      </c>
    </row>
    <row r="109" spans="1:9">
      <c r="A109" t="s">
        <v>190</v>
      </c>
      <c r="B109" s="1" t="s">
        <v>100</v>
      </c>
      <c r="C109">
        <f>IFERROR(VLOOKUP(B109,SumOfv8!$A$1:$H$200,2,),0)</f>
        <v>0</v>
      </c>
      <c r="D109">
        <f>IFERROR(VLOOKUP(B109,SumOfv8!$A$1:$H$200,3,),0)</f>
        <v>0</v>
      </c>
      <c r="E109">
        <f>IFERROR(VLOOKUP(B109,SumOfv8!$A$1:$H$200,4,),0)</f>
        <v>0</v>
      </c>
      <c r="F109">
        <f>IFERROR(VLOOKUP(B109,SumOfv8!$A$1:$H$200,5,),0)</f>
        <v>0</v>
      </c>
      <c r="G109">
        <f>IFERROR(VLOOKUP(B109,SumOfv8!$A$1:$H$200,6,),0)</f>
        <v>0</v>
      </c>
      <c r="H109">
        <f>IFERROR(VLOOKUP(B109,SumOfv8!$A$1:$H$200,7,),0)</f>
        <v>0</v>
      </c>
      <c r="I109">
        <f>IFERROR(VLOOKUP(B109,SumOfv8!$A$1:$H$200,8,),0)</f>
        <v>0</v>
      </c>
    </row>
    <row r="110" spans="1:9">
      <c r="A110" t="s">
        <v>190</v>
      </c>
      <c r="B110" s="1" t="s">
        <v>101</v>
      </c>
      <c r="C110">
        <f>IFERROR(VLOOKUP(B110,SumOfv8!$A$1:$H$200,2,),0)</f>
        <v>0</v>
      </c>
      <c r="D110">
        <f>IFERROR(VLOOKUP(B110,SumOfv8!$A$1:$H$200,3,),0)</f>
        <v>0</v>
      </c>
      <c r="E110">
        <f>IFERROR(VLOOKUP(B110,SumOfv8!$A$1:$H$200,4,),0)</f>
        <v>0</v>
      </c>
      <c r="F110">
        <f>IFERROR(VLOOKUP(B110,SumOfv8!$A$1:$H$200,5,),0)</f>
        <v>0</v>
      </c>
      <c r="G110">
        <f>IFERROR(VLOOKUP(B110,SumOfv8!$A$1:$H$200,6,),0)</f>
        <v>0</v>
      </c>
      <c r="H110">
        <f>IFERROR(VLOOKUP(B110,SumOfv8!$A$1:$H$200,7,),0)</f>
        <v>0</v>
      </c>
      <c r="I110">
        <f>IFERROR(VLOOKUP(B110,SumOfv8!$A$1:$H$200,8,),0)</f>
        <v>0</v>
      </c>
    </row>
    <row r="111" spans="1:9">
      <c r="A111" t="s">
        <v>190</v>
      </c>
      <c r="B111" s="1" t="s">
        <v>102</v>
      </c>
      <c r="C111">
        <f>IFERROR(VLOOKUP(B111,SumOfv8!$A$1:$H$200,2,),0)</f>
        <v>0</v>
      </c>
      <c r="D111">
        <f>IFERROR(VLOOKUP(B111,SumOfv8!$A$1:$H$200,3,),0)</f>
        <v>0</v>
      </c>
      <c r="E111">
        <f>IFERROR(VLOOKUP(B111,SumOfv8!$A$1:$H$200,4,),0)</f>
        <v>0</v>
      </c>
      <c r="F111">
        <f>IFERROR(VLOOKUP(B111,SumOfv8!$A$1:$H$200,5,),0)</f>
        <v>0</v>
      </c>
      <c r="G111">
        <f>IFERROR(VLOOKUP(B111,SumOfv8!$A$1:$H$200,6,),0)</f>
        <v>0</v>
      </c>
      <c r="H111">
        <f>IFERROR(VLOOKUP(B111,SumOfv8!$A$1:$H$200,7,),0)</f>
        <v>0</v>
      </c>
      <c r="I111">
        <f>IFERROR(VLOOKUP(B111,SumOfv8!$A$1:$H$200,8,),0)</f>
        <v>0</v>
      </c>
    </row>
    <row r="112" spans="1:9">
      <c r="A112" t="s">
        <v>190</v>
      </c>
      <c r="B112" s="1" t="s">
        <v>103</v>
      </c>
      <c r="C112">
        <f>IFERROR(VLOOKUP(B112,SumOfv8!$A$1:$H$200,2,),0)</f>
        <v>0</v>
      </c>
      <c r="D112">
        <f>IFERROR(VLOOKUP(B112,SumOfv8!$A$1:$H$200,3,),0)</f>
        <v>0</v>
      </c>
      <c r="E112">
        <f>IFERROR(VLOOKUP(B112,SumOfv8!$A$1:$H$200,4,),0)</f>
        <v>0</v>
      </c>
      <c r="F112">
        <f>IFERROR(VLOOKUP(B112,SumOfv8!$A$1:$H$200,5,),0)</f>
        <v>0</v>
      </c>
      <c r="G112">
        <f>IFERROR(VLOOKUP(B112,SumOfv8!$A$1:$H$200,6,),0)</f>
        <v>0</v>
      </c>
      <c r="H112">
        <f>IFERROR(VLOOKUP(B112,SumOfv8!$A$1:$H$200,7,),0)</f>
        <v>0</v>
      </c>
      <c r="I112">
        <f>IFERROR(VLOOKUP(B112,SumOfv8!$A$1:$H$200,8,),0)</f>
        <v>0</v>
      </c>
    </row>
    <row r="113" spans="1:9">
      <c r="A113" t="s">
        <v>190</v>
      </c>
      <c r="B113" s="1" t="s">
        <v>104</v>
      </c>
      <c r="C113">
        <f>IFERROR(VLOOKUP(B113,SumOfv8!$A$1:$H$200,2,),0)</f>
        <v>0</v>
      </c>
      <c r="D113">
        <f>IFERROR(VLOOKUP(B113,SumOfv8!$A$1:$H$200,3,),0)</f>
        <v>0</v>
      </c>
      <c r="E113">
        <f>IFERROR(VLOOKUP(B113,SumOfv8!$A$1:$H$200,4,),0)</f>
        <v>0</v>
      </c>
      <c r="F113">
        <f>IFERROR(VLOOKUP(B113,SumOfv8!$A$1:$H$200,5,),0)</f>
        <v>0</v>
      </c>
      <c r="G113">
        <f>IFERROR(VLOOKUP(B113,SumOfv8!$A$1:$H$200,6,),0)</f>
        <v>0</v>
      </c>
      <c r="H113">
        <f>IFERROR(VLOOKUP(B113,SumOfv8!$A$1:$H$200,7,),0)</f>
        <v>0</v>
      </c>
      <c r="I113">
        <f>IFERROR(VLOOKUP(B113,SumOfv8!$A$1:$H$200,8,),0)</f>
        <v>0</v>
      </c>
    </row>
    <row r="114" spans="1:9">
      <c r="A114" t="s">
        <v>190</v>
      </c>
      <c r="B114" s="1" t="s">
        <v>105</v>
      </c>
      <c r="C114">
        <f>IFERROR(VLOOKUP(B114,SumOfv8!$A$1:$H$200,2,),0)</f>
        <v>0</v>
      </c>
      <c r="D114">
        <f>IFERROR(VLOOKUP(B114,SumOfv8!$A$1:$H$200,3,),0)</f>
        <v>0</v>
      </c>
      <c r="E114">
        <f>IFERROR(VLOOKUP(B114,SumOfv8!$A$1:$H$200,4,),0)</f>
        <v>0</v>
      </c>
      <c r="F114">
        <f>IFERROR(VLOOKUP(B114,SumOfv8!$A$1:$H$200,5,),0)</f>
        <v>0</v>
      </c>
      <c r="G114">
        <f>IFERROR(VLOOKUP(B114,SumOfv8!$A$1:$H$200,6,),0)</f>
        <v>0</v>
      </c>
      <c r="H114">
        <f>IFERROR(VLOOKUP(B114,SumOfv8!$A$1:$H$200,7,),0)</f>
        <v>0</v>
      </c>
      <c r="I114">
        <f>IFERROR(VLOOKUP(B114,SumOfv8!$A$1:$H$200,8,),0)</f>
        <v>0</v>
      </c>
    </row>
    <row r="115" spans="1:9">
      <c r="A115" t="s">
        <v>190</v>
      </c>
      <c r="B115" s="1" t="s">
        <v>106</v>
      </c>
      <c r="C115">
        <f>IFERROR(VLOOKUP(B115,SumOfv8!$A$1:$H$200,2,),0)</f>
        <v>0</v>
      </c>
      <c r="D115">
        <f>IFERROR(VLOOKUP(B115,SumOfv8!$A$1:$H$200,3,),0)</f>
        <v>0</v>
      </c>
      <c r="E115">
        <f>IFERROR(VLOOKUP(B115,SumOfv8!$A$1:$H$200,4,),0)</f>
        <v>0</v>
      </c>
      <c r="F115">
        <f>IFERROR(VLOOKUP(B115,SumOfv8!$A$1:$H$200,5,),0)</f>
        <v>0</v>
      </c>
      <c r="G115">
        <f>IFERROR(VLOOKUP(B115,SumOfv8!$A$1:$H$200,6,),0)</f>
        <v>0</v>
      </c>
      <c r="H115">
        <f>IFERROR(VLOOKUP(B115,SumOfv8!$A$1:$H$200,7,),0)</f>
        <v>0</v>
      </c>
      <c r="I115">
        <f>IFERROR(VLOOKUP(B115,SumOfv8!$A$1:$H$200,8,),0)</f>
        <v>0</v>
      </c>
    </row>
    <row r="116" spans="1:9">
      <c r="A116" t="s">
        <v>190</v>
      </c>
      <c r="B116" s="1" t="s">
        <v>221</v>
      </c>
      <c r="C116">
        <f>IFERROR(VLOOKUP(B116,SumOfv8!$A$1:$H$200,2,),0)</f>
        <v>0</v>
      </c>
      <c r="D116">
        <f>IFERROR(VLOOKUP(B116,SumOfv8!$A$1:$H$200,3,),0)</f>
        <v>0</v>
      </c>
      <c r="E116">
        <f>IFERROR(VLOOKUP(B116,SumOfv8!$A$1:$H$200,4,),0)</f>
        <v>0</v>
      </c>
      <c r="F116">
        <f>IFERROR(VLOOKUP(B116,SumOfv8!$A$1:$H$200,5,),0)</f>
        <v>0</v>
      </c>
      <c r="G116">
        <f>IFERROR(VLOOKUP(B116,SumOfv8!$A$1:$H$200,6,),0)</f>
        <v>0</v>
      </c>
      <c r="H116">
        <f>IFERROR(VLOOKUP(B116,SumOfv8!$A$1:$H$200,7,),0)</f>
        <v>0</v>
      </c>
      <c r="I116">
        <f>IFERROR(VLOOKUP(B116,SumOfv8!$A$1:$H$200,8,),0)</f>
        <v>0</v>
      </c>
    </row>
    <row r="117" spans="1:9">
      <c r="A117" t="s">
        <v>189</v>
      </c>
      <c r="B117" s="1" t="s">
        <v>107</v>
      </c>
      <c r="C117">
        <f>IFERROR(VLOOKUP(B117,SumOfv8!$A$1:$H$200,2,),0)</f>
        <v>0</v>
      </c>
      <c r="D117">
        <f>IFERROR(VLOOKUP(B117,SumOfv8!$A$1:$H$200,3,),0)</f>
        <v>0</v>
      </c>
      <c r="E117">
        <f>IFERROR(VLOOKUP(B117,SumOfv8!$A$1:$H$200,4,),0)</f>
        <v>0</v>
      </c>
      <c r="F117">
        <f>IFERROR(VLOOKUP(B117,SumOfv8!$A$1:$H$200,5,),0)</f>
        <v>0</v>
      </c>
      <c r="G117">
        <f>IFERROR(VLOOKUP(B117,SumOfv8!$A$1:$H$200,6,),0)</f>
        <v>0</v>
      </c>
      <c r="H117">
        <f>IFERROR(VLOOKUP(B117,SumOfv8!$A$1:$H$200,7,),0)</f>
        <v>0</v>
      </c>
      <c r="I117">
        <f>IFERROR(VLOOKUP(B117,SumOfv8!$A$1:$H$200,8,),0)</f>
        <v>0</v>
      </c>
    </row>
    <row r="118" spans="1:9">
      <c r="A118" t="s">
        <v>189</v>
      </c>
      <c r="B118" s="1" t="s">
        <v>108</v>
      </c>
      <c r="C118">
        <f>IFERROR(VLOOKUP(B118,SumOfv8!$A$1:$H$200,2,),0)</f>
        <v>0</v>
      </c>
      <c r="D118">
        <f>IFERROR(VLOOKUP(B118,SumOfv8!$A$1:$H$200,3,),0)</f>
        <v>0</v>
      </c>
      <c r="E118">
        <f>IFERROR(VLOOKUP(B118,SumOfv8!$A$1:$H$200,4,),0)</f>
        <v>0</v>
      </c>
      <c r="F118">
        <f>IFERROR(VLOOKUP(B118,SumOfv8!$A$1:$H$200,5,),0)</f>
        <v>0</v>
      </c>
      <c r="G118">
        <f>IFERROR(VLOOKUP(B118,SumOfv8!$A$1:$H$200,6,),0)</f>
        <v>0</v>
      </c>
      <c r="H118">
        <f>IFERROR(VLOOKUP(B118,SumOfv8!$A$1:$H$200,7,),0)</f>
        <v>0</v>
      </c>
      <c r="I118">
        <f>IFERROR(VLOOKUP(B118,SumOfv8!$A$1:$H$200,8,),0)</f>
        <v>0</v>
      </c>
    </row>
    <row r="119" spans="1:9">
      <c r="A119" t="s">
        <v>189</v>
      </c>
      <c r="B119" s="1" t="s">
        <v>109</v>
      </c>
      <c r="C119">
        <f>IFERROR(VLOOKUP(B119,SumOfv8!$A$1:$H$200,2,),0)</f>
        <v>0</v>
      </c>
      <c r="D119">
        <f>IFERROR(VLOOKUP(B119,SumOfv8!$A$1:$H$200,3,),0)</f>
        <v>0</v>
      </c>
      <c r="E119">
        <f>IFERROR(VLOOKUP(B119,SumOfv8!$A$1:$H$200,4,),0)</f>
        <v>0</v>
      </c>
      <c r="F119">
        <f>IFERROR(VLOOKUP(B119,SumOfv8!$A$1:$H$200,5,),0)</f>
        <v>0</v>
      </c>
      <c r="G119">
        <f>IFERROR(VLOOKUP(B119,SumOfv8!$A$1:$H$200,6,),0)</f>
        <v>0</v>
      </c>
      <c r="H119">
        <f>IFERROR(VLOOKUP(B119,SumOfv8!$A$1:$H$200,7,),0)</f>
        <v>0</v>
      </c>
      <c r="I119">
        <f>IFERROR(VLOOKUP(B119,SumOfv8!$A$1:$H$200,8,),0)</f>
        <v>0</v>
      </c>
    </row>
    <row r="120" spans="1:9">
      <c r="A120" t="s">
        <v>189</v>
      </c>
      <c r="B120" s="1" t="s">
        <v>110</v>
      </c>
      <c r="C120">
        <f>IFERROR(VLOOKUP(B120,SumOfv8!$A$1:$H$200,2,),0)</f>
        <v>0</v>
      </c>
      <c r="D120">
        <f>IFERROR(VLOOKUP(B120,SumOfv8!$A$1:$H$200,3,),0)</f>
        <v>0</v>
      </c>
      <c r="E120">
        <f>IFERROR(VLOOKUP(B120,SumOfv8!$A$1:$H$200,4,),0)</f>
        <v>0</v>
      </c>
      <c r="F120">
        <f>IFERROR(VLOOKUP(B120,SumOfv8!$A$1:$H$200,5,),0)</f>
        <v>0</v>
      </c>
      <c r="G120">
        <f>IFERROR(VLOOKUP(B120,SumOfv8!$A$1:$H$200,6,),0)</f>
        <v>0</v>
      </c>
      <c r="H120">
        <f>IFERROR(VLOOKUP(B120,SumOfv8!$A$1:$H$200,7,),0)</f>
        <v>0</v>
      </c>
      <c r="I120">
        <f>IFERROR(VLOOKUP(B120,SumOfv8!$A$1:$H$200,8,),0)</f>
        <v>0</v>
      </c>
    </row>
    <row r="121" spans="1:9">
      <c r="A121" t="s">
        <v>189</v>
      </c>
      <c r="B121" s="1" t="s">
        <v>111</v>
      </c>
      <c r="C121">
        <f>IFERROR(VLOOKUP(B121,SumOfv8!$A$1:$H$200,2,),0)</f>
        <v>0</v>
      </c>
      <c r="D121">
        <f>IFERROR(VLOOKUP(B121,SumOfv8!$A$1:$H$200,3,),0)</f>
        <v>0</v>
      </c>
      <c r="E121">
        <f>IFERROR(VLOOKUP(B121,SumOfv8!$A$1:$H$200,4,),0)</f>
        <v>0</v>
      </c>
      <c r="F121">
        <f>IFERROR(VLOOKUP(B121,SumOfv8!$A$1:$H$200,5,),0)</f>
        <v>0</v>
      </c>
      <c r="G121">
        <f>IFERROR(VLOOKUP(B121,SumOfv8!$A$1:$H$200,6,),0)</f>
        <v>0</v>
      </c>
      <c r="H121">
        <f>IFERROR(VLOOKUP(B121,SumOfv8!$A$1:$H$200,7,),0)</f>
        <v>0</v>
      </c>
      <c r="I121">
        <f>IFERROR(VLOOKUP(B121,SumOfv8!$A$1:$H$200,8,),0)</f>
        <v>0</v>
      </c>
    </row>
    <row r="122" spans="1:9">
      <c r="A122" t="s">
        <v>189</v>
      </c>
      <c r="B122" s="1" t="s">
        <v>112</v>
      </c>
      <c r="C122">
        <f>IFERROR(VLOOKUP(B122,SumOfv8!$A$1:$H$200,2,),0)</f>
        <v>0</v>
      </c>
      <c r="D122">
        <f>IFERROR(VLOOKUP(B122,SumOfv8!$A$1:$H$200,3,),0)</f>
        <v>0</v>
      </c>
      <c r="E122">
        <f>IFERROR(VLOOKUP(B122,SumOfv8!$A$1:$H$200,4,),0)</f>
        <v>0</v>
      </c>
      <c r="F122">
        <f>IFERROR(VLOOKUP(B122,SumOfv8!$A$1:$H$200,5,),0)</f>
        <v>0</v>
      </c>
      <c r="G122">
        <f>IFERROR(VLOOKUP(B122,SumOfv8!$A$1:$H$200,6,),0)</f>
        <v>0</v>
      </c>
      <c r="H122">
        <f>IFERROR(VLOOKUP(B122,SumOfv8!$A$1:$H$200,7,),0)</f>
        <v>0</v>
      </c>
      <c r="I122">
        <f>IFERROR(VLOOKUP(B122,SumOfv8!$A$1:$H$200,8,),0)</f>
        <v>0</v>
      </c>
    </row>
    <row r="123" spans="1:9">
      <c r="A123" t="s">
        <v>189</v>
      </c>
      <c r="B123" s="1" t="s">
        <v>113</v>
      </c>
      <c r="C123">
        <f>IFERROR(VLOOKUP(B123,SumOfv8!$A$1:$H$200,2,),0)</f>
        <v>0</v>
      </c>
      <c r="D123">
        <f>IFERROR(VLOOKUP(B123,SumOfv8!$A$1:$H$200,3,),0)</f>
        <v>0</v>
      </c>
      <c r="E123">
        <f>IFERROR(VLOOKUP(B123,SumOfv8!$A$1:$H$200,4,),0)</f>
        <v>0</v>
      </c>
      <c r="F123">
        <f>IFERROR(VLOOKUP(B123,SumOfv8!$A$1:$H$200,5,),0)</f>
        <v>0</v>
      </c>
      <c r="G123">
        <f>IFERROR(VLOOKUP(B123,SumOfv8!$A$1:$H$200,6,),0)</f>
        <v>0</v>
      </c>
      <c r="H123">
        <f>IFERROR(VLOOKUP(B123,SumOfv8!$A$1:$H$200,7,),0)</f>
        <v>0</v>
      </c>
      <c r="I123">
        <f>IFERROR(VLOOKUP(B123,SumOfv8!$A$1:$H$200,8,),0)</f>
        <v>0</v>
      </c>
    </row>
    <row r="124" spans="1:9">
      <c r="A124" t="s">
        <v>189</v>
      </c>
      <c r="B124" s="1" t="s">
        <v>114</v>
      </c>
      <c r="C124">
        <f>IFERROR(VLOOKUP(B124,SumOfv8!$A$1:$H$200,2,),0)</f>
        <v>0</v>
      </c>
      <c r="D124">
        <f>IFERROR(VLOOKUP(B124,SumOfv8!$A$1:$H$200,3,),0)</f>
        <v>0</v>
      </c>
      <c r="E124">
        <f>IFERROR(VLOOKUP(B124,SumOfv8!$A$1:$H$200,4,),0)</f>
        <v>0</v>
      </c>
      <c r="F124">
        <f>IFERROR(VLOOKUP(B124,SumOfv8!$A$1:$H$200,5,),0)</f>
        <v>0</v>
      </c>
      <c r="G124">
        <f>IFERROR(VLOOKUP(B124,SumOfv8!$A$1:$H$200,6,),0)</f>
        <v>0</v>
      </c>
      <c r="H124">
        <f>IFERROR(VLOOKUP(B124,SumOfv8!$A$1:$H$200,7,),0)</f>
        <v>0</v>
      </c>
      <c r="I124">
        <f>IFERROR(VLOOKUP(B124,SumOfv8!$A$1:$H$200,8,),0)</f>
        <v>0</v>
      </c>
    </row>
    <row r="125" spans="1:9">
      <c r="A125" t="s">
        <v>189</v>
      </c>
      <c r="B125" s="1" t="s">
        <v>115</v>
      </c>
      <c r="C125">
        <f>IFERROR(VLOOKUP(B125,SumOfv8!$A$1:$H$200,2,),0)</f>
        <v>0</v>
      </c>
      <c r="D125">
        <f>IFERROR(VLOOKUP(B125,SumOfv8!$A$1:$H$200,3,),0)</f>
        <v>0</v>
      </c>
      <c r="E125">
        <f>IFERROR(VLOOKUP(B125,SumOfv8!$A$1:$H$200,4,),0)</f>
        <v>0</v>
      </c>
      <c r="F125">
        <f>IFERROR(VLOOKUP(B125,SumOfv8!$A$1:$H$200,5,),0)</f>
        <v>0</v>
      </c>
      <c r="G125">
        <f>IFERROR(VLOOKUP(B125,SumOfv8!$A$1:$H$200,6,),0)</f>
        <v>0</v>
      </c>
      <c r="H125">
        <f>IFERROR(VLOOKUP(B125,SumOfv8!$A$1:$H$200,7,),0)</f>
        <v>0</v>
      </c>
      <c r="I125">
        <f>IFERROR(VLOOKUP(B125,SumOfv8!$A$1:$H$200,8,),0)</f>
        <v>0</v>
      </c>
    </row>
    <row r="126" spans="1:9">
      <c r="A126" t="s">
        <v>189</v>
      </c>
      <c r="B126" s="1" t="s">
        <v>116</v>
      </c>
      <c r="C126">
        <f>IFERROR(VLOOKUP(B126,SumOfv8!$A$1:$H$200,2,),0)</f>
        <v>0</v>
      </c>
      <c r="D126">
        <f>IFERROR(VLOOKUP(B126,SumOfv8!$A$1:$H$200,3,),0)</f>
        <v>0</v>
      </c>
      <c r="E126">
        <f>IFERROR(VLOOKUP(B126,SumOfv8!$A$1:$H$200,4,),0)</f>
        <v>0</v>
      </c>
      <c r="F126">
        <f>IFERROR(VLOOKUP(B126,SumOfv8!$A$1:$H$200,5,),0)</f>
        <v>0</v>
      </c>
      <c r="G126">
        <f>IFERROR(VLOOKUP(B126,SumOfv8!$A$1:$H$200,6,),0)</f>
        <v>0</v>
      </c>
      <c r="H126">
        <f>IFERROR(VLOOKUP(B126,SumOfv8!$A$1:$H$200,7,),0)</f>
        <v>0</v>
      </c>
      <c r="I126">
        <f>IFERROR(VLOOKUP(B126,SumOfv8!$A$1:$H$200,8,),0)</f>
        <v>0</v>
      </c>
    </row>
    <row r="127" spans="1:9">
      <c r="A127" t="s">
        <v>206</v>
      </c>
      <c r="B127" s="1" t="s">
        <v>117</v>
      </c>
      <c r="C127">
        <f>IFERROR(VLOOKUP(B127,SumOfv8!$A$1:$H$200,2,),0)</f>
        <v>0</v>
      </c>
      <c r="D127">
        <f>IFERROR(VLOOKUP(B127,SumOfv8!$A$1:$H$200,3,),0)</f>
        <v>0</v>
      </c>
      <c r="E127">
        <f>IFERROR(VLOOKUP(B127,SumOfv8!$A$1:$H$200,4,),0)</f>
        <v>0</v>
      </c>
      <c r="F127">
        <f>IFERROR(VLOOKUP(B127,SumOfv8!$A$1:$H$200,5,),0)</f>
        <v>0</v>
      </c>
      <c r="G127">
        <f>IFERROR(VLOOKUP(B127,SumOfv8!$A$1:$H$200,6,),0)</f>
        <v>0</v>
      </c>
      <c r="H127">
        <f>IFERROR(VLOOKUP(B127,SumOfv8!$A$1:$H$200,7,),0)</f>
        <v>0</v>
      </c>
      <c r="I127">
        <f>IFERROR(VLOOKUP(B127,SumOfv8!$A$1:$H$200,8,),0)</f>
        <v>0</v>
      </c>
    </row>
    <row r="128" spans="1:9">
      <c r="A128" t="s">
        <v>207</v>
      </c>
      <c r="B128" s="1" t="s">
        <v>118</v>
      </c>
      <c r="C128">
        <f>IFERROR(VLOOKUP(B128,SumOfv8!$A$1:$H$200,2,),0)</f>
        <v>0</v>
      </c>
      <c r="D128">
        <f>IFERROR(VLOOKUP(B128,SumOfv8!$A$1:$H$200,3,),0)</f>
        <v>0</v>
      </c>
      <c r="E128">
        <f>IFERROR(VLOOKUP(B128,SumOfv8!$A$1:$H$200,4,),0)</f>
        <v>0</v>
      </c>
      <c r="F128">
        <f>IFERROR(VLOOKUP(B128,SumOfv8!$A$1:$H$200,5,),0)</f>
        <v>0</v>
      </c>
      <c r="G128">
        <f>IFERROR(VLOOKUP(B128,SumOfv8!$A$1:$H$200,6,),0)</f>
        <v>0</v>
      </c>
      <c r="H128">
        <f>IFERROR(VLOOKUP(B128,SumOfv8!$A$1:$H$200,7,),0)</f>
        <v>0</v>
      </c>
      <c r="I128">
        <f>IFERROR(VLOOKUP(B128,SumOfv8!$A$1:$H$200,8,),0)</f>
        <v>0</v>
      </c>
    </row>
    <row r="129" spans="1:9">
      <c r="A129" t="s">
        <v>201</v>
      </c>
      <c r="B129" s="1" t="s">
        <v>169</v>
      </c>
      <c r="C129">
        <f>IFERROR(VLOOKUP(B129,SumOfv8!$A$1:$H$200,2,),0)</f>
        <v>0</v>
      </c>
      <c r="D129">
        <f>IFERROR(VLOOKUP(B129,SumOfv8!$A$1:$H$200,3,),0)</f>
        <v>0</v>
      </c>
      <c r="E129">
        <f>IFERROR(VLOOKUP(B129,SumOfv8!$A$1:$H$200,4,),0)</f>
        <v>0</v>
      </c>
      <c r="F129">
        <f>IFERROR(VLOOKUP(B129,SumOfv8!$A$1:$H$200,5,),0)</f>
        <v>0</v>
      </c>
      <c r="G129">
        <f>IFERROR(VLOOKUP(B129,SumOfv8!$A$1:$H$200,6,),0)</f>
        <v>0</v>
      </c>
      <c r="H129">
        <f>IFERROR(VLOOKUP(B129,SumOfv8!$A$1:$H$200,7,),0)</f>
        <v>0</v>
      </c>
      <c r="I129">
        <f>IFERROR(VLOOKUP(B129,SumOfv8!$A$1:$H$200,8,),0)</f>
        <v>0</v>
      </c>
    </row>
    <row r="130" spans="1:9">
      <c r="A130" t="s">
        <v>188</v>
      </c>
      <c r="B130" s="1" t="s">
        <v>119</v>
      </c>
      <c r="C130">
        <f>IFERROR(VLOOKUP(B130,SumOfv8!$A$1:$H$200,2,),0)</f>
        <v>0</v>
      </c>
      <c r="D130">
        <f>IFERROR(VLOOKUP(B130,SumOfv8!$A$1:$H$200,3,),0)</f>
        <v>0</v>
      </c>
      <c r="E130">
        <f>IFERROR(VLOOKUP(B130,SumOfv8!$A$1:$H$200,4,),0)</f>
        <v>0</v>
      </c>
      <c r="F130">
        <f>IFERROR(VLOOKUP(B130,SumOfv8!$A$1:$H$200,5,),0)</f>
        <v>0</v>
      </c>
      <c r="G130">
        <f>IFERROR(VLOOKUP(B130,SumOfv8!$A$1:$H$200,6,),0)</f>
        <v>0</v>
      </c>
      <c r="H130">
        <f>IFERROR(VLOOKUP(B130,SumOfv8!$A$1:$H$200,7,),0)</f>
        <v>0</v>
      </c>
      <c r="I130">
        <f>IFERROR(VLOOKUP(B130,SumOfv8!$A$1:$H$200,8,),0)</f>
        <v>0</v>
      </c>
    </row>
    <row r="131" spans="1:9">
      <c r="A131" t="s">
        <v>188</v>
      </c>
      <c r="B131" s="1" t="s">
        <v>120</v>
      </c>
      <c r="C131">
        <f>IFERROR(VLOOKUP(B131,SumOfv8!$A$1:$H$200,2,),0)</f>
        <v>0</v>
      </c>
      <c r="D131">
        <f>IFERROR(VLOOKUP(B131,SumOfv8!$A$1:$H$200,3,),0)</f>
        <v>0</v>
      </c>
      <c r="E131">
        <f>IFERROR(VLOOKUP(B131,SumOfv8!$A$1:$H$200,4,),0)</f>
        <v>0</v>
      </c>
      <c r="F131">
        <f>IFERROR(VLOOKUP(B131,SumOfv8!$A$1:$H$200,5,),0)</f>
        <v>0</v>
      </c>
      <c r="G131">
        <f>IFERROR(VLOOKUP(B131,SumOfv8!$A$1:$H$200,6,),0)</f>
        <v>0</v>
      </c>
      <c r="H131">
        <f>IFERROR(VLOOKUP(B131,SumOfv8!$A$1:$H$200,7,),0)</f>
        <v>0</v>
      </c>
      <c r="I131">
        <f>IFERROR(VLOOKUP(B131,SumOfv8!$A$1:$H$200,8,),0)</f>
        <v>0</v>
      </c>
    </row>
    <row r="132" spans="1:9">
      <c r="A132" t="s">
        <v>188</v>
      </c>
      <c r="B132" s="1" t="s">
        <v>121</v>
      </c>
      <c r="C132">
        <f>IFERROR(VLOOKUP(B132,SumOfv8!$A$1:$H$200,2,),0)</f>
        <v>0</v>
      </c>
      <c r="D132">
        <f>IFERROR(VLOOKUP(B132,SumOfv8!$A$1:$H$200,3,),0)</f>
        <v>0</v>
      </c>
      <c r="E132">
        <f>IFERROR(VLOOKUP(B132,SumOfv8!$A$1:$H$200,4,),0)</f>
        <v>0</v>
      </c>
      <c r="F132">
        <f>IFERROR(VLOOKUP(B132,SumOfv8!$A$1:$H$200,5,),0)</f>
        <v>0</v>
      </c>
      <c r="G132">
        <f>IFERROR(VLOOKUP(B132,SumOfv8!$A$1:$H$200,6,),0)</f>
        <v>0</v>
      </c>
      <c r="H132">
        <f>IFERROR(VLOOKUP(B132,SumOfv8!$A$1:$H$200,7,),0)</f>
        <v>0</v>
      </c>
      <c r="I132">
        <f>IFERROR(VLOOKUP(B132,SumOfv8!$A$1:$H$200,8,),0)</f>
        <v>0</v>
      </c>
    </row>
    <row r="133" spans="1:9">
      <c r="A133" t="s">
        <v>188</v>
      </c>
      <c r="B133" s="1" t="s">
        <v>122</v>
      </c>
      <c r="C133">
        <f>IFERROR(VLOOKUP(B133,SumOfv8!$A$1:$H$200,2,),0)</f>
        <v>0</v>
      </c>
      <c r="D133">
        <f>IFERROR(VLOOKUP(B133,SumOfv8!$A$1:$H$200,3,),0)</f>
        <v>0</v>
      </c>
      <c r="E133">
        <f>IFERROR(VLOOKUP(B133,SumOfv8!$A$1:$H$200,4,),0)</f>
        <v>0</v>
      </c>
      <c r="F133">
        <f>IFERROR(VLOOKUP(B133,SumOfv8!$A$1:$H$200,5,),0)</f>
        <v>0</v>
      </c>
      <c r="G133">
        <f>IFERROR(VLOOKUP(B133,SumOfv8!$A$1:$H$200,6,),0)</f>
        <v>0</v>
      </c>
      <c r="H133">
        <f>IFERROR(VLOOKUP(B133,SumOfv8!$A$1:$H$200,7,),0)</f>
        <v>0</v>
      </c>
      <c r="I133">
        <f>IFERROR(VLOOKUP(B133,SumOfv8!$A$1:$H$200,8,),0)</f>
        <v>0</v>
      </c>
    </row>
    <row r="134" spans="1:9">
      <c r="A134" t="s">
        <v>188</v>
      </c>
      <c r="B134" s="1" t="s">
        <v>123</v>
      </c>
      <c r="C134">
        <f>IFERROR(VLOOKUP(B134,SumOfv8!$A$1:$H$200,2,),0)</f>
        <v>0</v>
      </c>
      <c r="D134">
        <f>IFERROR(VLOOKUP(B134,SumOfv8!$A$1:$H$200,3,),0)</f>
        <v>0</v>
      </c>
      <c r="E134">
        <f>IFERROR(VLOOKUP(B134,SumOfv8!$A$1:$H$200,4,),0)</f>
        <v>0</v>
      </c>
      <c r="F134">
        <f>IFERROR(VLOOKUP(B134,SumOfv8!$A$1:$H$200,5,),0)</f>
        <v>0</v>
      </c>
      <c r="G134">
        <f>IFERROR(VLOOKUP(B134,SumOfv8!$A$1:$H$200,6,),0)</f>
        <v>0</v>
      </c>
      <c r="H134">
        <f>IFERROR(VLOOKUP(B134,SumOfv8!$A$1:$H$200,7,),0)</f>
        <v>0</v>
      </c>
      <c r="I134">
        <f>IFERROR(VLOOKUP(B134,SumOfv8!$A$1:$H$200,8,),0)</f>
        <v>0</v>
      </c>
    </row>
    <row r="135" spans="1:9">
      <c r="A135" t="s">
        <v>188</v>
      </c>
      <c r="B135" s="1" t="s">
        <v>124</v>
      </c>
      <c r="C135">
        <f>IFERROR(VLOOKUP(B135,SumOfv8!$A$1:$H$200,2,),0)</f>
        <v>0</v>
      </c>
      <c r="D135">
        <f>IFERROR(VLOOKUP(B135,SumOfv8!$A$1:$H$200,3,),0)</f>
        <v>0</v>
      </c>
      <c r="E135">
        <f>IFERROR(VLOOKUP(B135,SumOfv8!$A$1:$H$200,4,),0)</f>
        <v>0</v>
      </c>
      <c r="F135">
        <f>IFERROR(VLOOKUP(B135,SumOfv8!$A$1:$H$200,5,),0)</f>
        <v>0</v>
      </c>
      <c r="G135">
        <f>IFERROR(VLOOKUP(B135,SumOfv8!$A$1:$H$200,6,),0)</f>
        <v>0</v>
      </c>
      <c r="H135">
        <f>IFERROR(VLOOKUP(B135,SumOfv8!$A$1:$H$200,7,),0)</f>
        <v>0</v>
      </c>
      <c r="I135">
        <f>IFERROR(VLOOKUP(B135,SumOfv8!$A$1:$H$200,8,),0)</f>
        <v>0</v>
      </c>
    </row>
    <row r="136" spans="1:9">
      <c r="A136" t="s">
        <v>188</v>
      </c>
      <c r="B136" s="1" t="s">
        <v>125</v>
      </c>
      <c r="C136">
        <f>IFERROR(VLOOKUP(B136,SumOfv8!$A$1:$H$200,2,),0)</f>
        <v>0</v>
      </c>
      <c r="D136">
        <f>IFERROR(VLOOKUP(B136,SumOfv8!$A$1:$H$200,3,),0)</f>
        <v>0</v>
      </c>
      <c r="E136">
        <f>IFERROR(VLOOKUP(B136,SumOfv8!$A$1:$H$200,4,),0)</f>
        <v>0</v>
      </c>
      <c r="F136">
        <f>IFERROR(VLOOKUP(B136,SumOfv8!$A$1:$H$200,5,),0)</f>
        <v>0</v>
      </c>
      <c r="G136">
        <f>IFERROR(VLOOKUP(B136,SumOfv8!$A$1:$H$200,6,),0)</f>
        <v>0</v>
      </c>
      <c r="H136">
        <f>IFERROR(VLOOKUP(B136,SumOfv8!$A$1:$H$200,7,),0)</f>
        <v>0</v>
      </c>
      <c r="I136">
        <f>IFERROR(VLOOKUP(B136,SumOfv8!$A$1:$H$200,8,),0)</f>
        <v>0</v>
      </c>
    </row>
    <row r="137" spans="1:9">
      <c r="A137" t="s">
        <v>188</v>
      </c>
      <c r="B137" s="1" t="s">
        <v>126</v>
      </c>
      <c r="C137">
        <f>IFERROR(VLOOKUP(B137,SumOfv8!$A$1:$H$200,2,),0)</f>
        <v>0</v>
      </c>
      <c r="D137">
        <f>IFERROR(VLOOKUP(B137,SumOfv8!$A$1:$H$200,3,),0)</f>
        <v>0</v>
      </c>
      <c r="E137">
        <f>IFERROR(VLOOKUP(B137,SumOfv8!$A$1:$H$200,4,),0)</f>
        <v>0</v>
      </c>
      <c r="F137">
        <f>IFERROR(VLOOKUP(B137,SumOfv8!$A$1:$H$200,5,),0)</f>
        <v>0</v>
      </c>
      <c r="G137">
        <f>IFERROR(VLOOKUP(B137,SumOfv8!$A$1:$H$200,6,),0)</f>
        <v>0</v>
      </c>
      <c r="H137">
        <f>IFERROR(VLOOKUP(B137,SumOfv8!$A$1:$H$200,7,),0)</f>
        <v>0</v>
      </c>
      <c r="I137">
        <f>IFERROR(VLOOKUP(B137,SumOfv8!$A$1:$H$200,8,),0)</f>
        <v>0</v>
      </c>
    </row>
    <row r="138" spans="1:9">
      <c r="A138" t="s">
        <v>188</v>
      </c>
      <c r="B138" s="1" t="s">
        <v>127</v>
      </c>
      <c r="C138">
        <f>IFERROR(VLOOKUP(B138,SumOfv8!$A$1:$H$200,2,),0)</f>
        <v>0</v>
      </c>
      <c r="D138">
        <f>IFERROR(VLOOKUP(B138,SumOfv8!$A$1:$H$200,3,),0)</f>
        <v>0</v>
      </c>
      <c r="E138">
        <f>IFERROR(VLOOKUP(B138,SumOfv8!$A$1:$H$200,4,),0)</f>
        <v>0</v>
      </c>
      <c r="F138">
        <f>IFERROR(VLOOKUP(B138,SumOfv8!$A$1:$H$200,5,),0)</f>
        <v>0</v>
      </c>
      <c r="G138">
        <f>IFERROR(VLOOKUP(B138,SumOfv8!$A$1:$H$200,6,),0)</f>
        <v>0</v>
      </c>
      <c r="H138">
        <f>IFERROR(VLOOKUP(B138,SumOfv8!$A$1:$H$200,7,),0)</f>
        <v>0</v>
      </c>
      <c r="I138">
        <f>IFERROR(VLOOKUP(B138,SumOfv8!$A$1:$H$200,8,),0)</f>
        <v>0</v>
      </c>
    </row>
    <row r="139" spans="1:9">
      <c r="A139" t="s">
        <v>188</v>
      </c>
      <c r="B139" s="1" t="s">
        <v>128</v>
      </c>
      <c r="C139">
        <f>IFERROR(VLOOKUP(B139,SumOfv8!$A$1:$H$200,2,),0)</f>
        <v>0</v>
      </c>
      <c r="D139">
        <f>IFERROR(VLOOKUP(B139,SumOfv8!$A$1:$H$200,3,),0)</f>
        <v>0</v>
      </c>
      <c r="E139">
        <f>IFERROR(VLOOKUP(B139,SumOfv8!$A$1:$H$200,4,),0)</f>
        <v>0</v>
      </c>
      <c r="F139">
        <f>IFERROR(VLOOKUP(B139,SumOfv8!$A$1:$H$200,5,),0)</f>
        <v>0</v>
      </c>
      <c r="G139">
        <f>IFERROR(VLOOKUP(B139,SumOfv8!$A$1:$H$200,6,),0)</f>
        <v>0</v>
      </c>
      <c r="H139">
        <f>IFERROR(VLOOKUP(B139,SumOfv8!$A$1:$H$200,7,),0)</f>
        <v>0</v>
      </c>
      <c r="I139">
        <f>IFERROR(VLOOKUP(B139,SumOfv8!$A$1:$H$200,8,),0)</f>
        <v>0</v>
      </c>
    </row>
    <row r="140" spans="1:9">
      <c r="A140" t="s">
        <v>188</v>
      </c>
      <c r="B140" s="1" t="s">
        <v>129</v>
      </c>
      <c r="C140">
        <f>IFERROR(VLOOKUP(B140,SumOfv8!$A$1:$H$200,2,),0)</f>
        <v>0</v>
      </c>
      <c r="D140">
        <f>IFERROR(VLOOKUP(B140,SumOfv8!$A$1:$H$200,3,),0)</f>
        <v>0</v>
      </c>
      <c r="E140">
        <f>IFERROR(VLOOKUP(B140,SumOfv8!$A$1:$H$200,4,),0)</f>
        <v>0</v>
      </c>
      <c r="F140">
        <f>IFERROR(VLOOKUP(B140,SumOfv8!$A$1:$H$200,5,),0)</f>
        <v>0</v>
      </c>
      <c r="G140">
        <f>IFERROR(VLOOKUP(B140,SumOfv8!$A$1:$H$200,6,),0)</f>
        <v>0</v>
      </c>
      <c r="H140">
        <f>IFERROR(VLOOKUP(B140,SumOfv8!$A$1:$H$200,7,),0)</f>
        <v>0</v>
      </c>
      <c r="I140">
        <f>IFERROR(VLOOKUP(B140,SumOfv8!$A$1:$H$200,8,),0)</f>
        <v>0</v>
      </c>
    </row>
    <row r="141" spans="1:9">
      <c r="A141" t="s">
        <v>188</v>
      </c>
      <c r="B141" s="1" t="s">
        <v>130</v>
      </c>
      <c r="C141">
        <f>IFERROR(VLOOKUP(B141,SumOfv8!$A$1:$H$200,2,),0)</f>
        <v>0</v>
      </c>
      <c r="D141">
        <f>IFERROR(VLOOKUP(B141,SumOfv8!$A$1:$H$200,3,),0)</f>
        <v>0</v>
      </c>
      <c r="E141">
        <f>IFERROR(VLOOKUP(B141,SumOfv8!$A$1:$H$200,4,),0)</f>
        <v>0</v>
      </c>
      <c r="F141">
        <f>IFERROR(VLOOKUP(B141,SumOfv8!$A$1:$H$200,5,),0)</f>
        <v>0</v>
      </c>
      <c r="G141">
        <f>IFERROR(VLOOKUP(B141,SumOfv8!$A$1:$H$200,6,),0)</f>
        <v>0</v>
      </c>
      <c r="H141">
        <f>IFERROR(VLOOKUP(B141,SumOfv8!$A$1:$H$200,7,),0)</f>
        <v>0</v>
      </c>
      <c r="I141">
        <f>IFERROR(VLOOKUP(B141,SumOfv8!$A$1:$H$200,8,),0)</f>
        <v>0</v>
      </c>
    </row>
    <row r="142" spans="1:9">
      <c r="A142" t="s">
        <v>188</v>
      </c>
      <c r="B142" s="1" t="s">
        <v>131</v>
      </c>
      <c r="C142">
        <f>IFERROR(VLOOKUP(B142,SumOfv8!$A$1:$H$200,2,),0)</f>
        <v>0</v>
      </c>
      <c r="D142">
        <f>IFERROR(VLOOKUP(B142,SumOfv8!$A$1:$H$200,3,),0)</f>
        <v>0</v>
      </c>
      <c r="E142">
        <f>IFERROR(VLOOKUP(B142,SumOfv8!$A$1:$H$200,4,),0)</f>
        <v>0</v>
      </c>
      <c r="F142">
        <f>IFERROR(VLOOKUP(B142,SumOfv8!$A$1:$H$200,5,),0)</f>
        <v>0</v>
      </c>
      <c r="G142">
        <f>IFERROR(VLOOKUP(B142,SumOfv8!$A$1:$H$200,6,),0)</f>
        <v>0</v>
      </c>
      <c r="H142">
        <f>IFERROR(VLOOKUP(B142,SumOfv8!$A$1:$H$200,7,),0)</f>
        <v>0</v>
      </c>
      <c r="I142">
        <f>IFERROR(VLOOKUP(B142,SumOfv8!$A$1:$H$200,8,),0)</f>
        <v>0</v>
      </c>
    </row>
    <row r="143" spans="1:9">
      <c r="A143" t="s">
        <v>188</v>
      </c>
      <c r="B143" s="1" t="s">
        <v>132</v>
      </c>
      <c r="C143">
        <f>IFERROR(VLOOKUP(B143,SumOfv8!$A$1:$H$200,2,),0)</f>
        <v>0</v>
      </c>
      <c r="D143">
        <f>IFERROR(VLOOKUP(B143,SumOfv8!$A$1:$H$200,3,),0)</f>
        <v>0</v>
      </c>
      <c r="E143">
        <f>IFERROR(VLOOKUP(B143,SumOfv8!$A$1:$H$200,4,),0)</f>
        <v>0</v>
      </c>
      <c r="F143">
        <f>IFERROR(VLOOKUP(B143,SumOfv8!$A$1:$H$200,5,),0)</f>
        <v>0</v>
      </c>
      <c r="G143">
        <f>IFERROR(VLOOKUP(B143,SumOfv8!$A$1:$H$200,6,),0)</f>
        <v>0</v>
      </c>
      <c r="H143">
        <f>IFERROR(VLOOKUP(B143,SumOfv8!$A$1:$H$200,7,),0)</f>
        <v>0</v>
      </c>
      <c r="I143">
        <f>IFERROR(VLOOKUP(B143,SumOfv8!$A$1:$H$200,8,),0)</f>
        <v>0</v>
      </c>
    </row>
    <row r="144" spans="1:9">
      <c r="A144" t="s">
        <v>188</v>
      </c>
      <c r="B144" s="1" t="s">
        <v>133</v>
      </c>
      <c r="C144">
        <f>IFERROR(VLOOKUP(B144,SumOfv8!$A$1:$H$200,2,),0)</f>
        <v>0</v>
      </c>
      <c r="D144">
        <f>IFERROR(VLOOKUP(B144,SumOfv8!$A$1:$H$200,3,),0)</f>
        <v>0</v>
      </c>
      <c r="E144">
        <f>IFERROR(VLOOKUP(B144,SumOfv8!$A$1:$H$200,4,),0)</f>
        <v>0</v>
      </c>
      <c r="F144">
        <f>IFERROR(VLOOKUP(B144,SumOfv8!$A$1:$H$200,5,),0)</f>
        <v>0</v>
      </c>
      <c r="G144">
        <f>IFERROR(VLOOKUP(B144,SumOfv8!$A$1:$H$200,6,),0)</f>
        <v>0</v>
      </c>
      <c r="H144">
        <f>IFERROR(VLOOKUP(B144,SumOfv8!$A$1:$H$200,7,),0)</f>
        <v>0</v>
      </c>
      <c r="I144">
        <f>IFERROR(VLOOKUP(B144,SumOfv8!$A$1:$H$200,8,),0)</f>
        <v>0</v>
      </c>
    </row>
    <row r="145" spans="1:9">
      <c r="A145" t="s">
        <v>188</v>
      </c>
      <c r="B145" s="1" t="s">
        <v>134</v>
      </c>
      <c r="C145">
        <f>IFERROR(VLOOKUP(B145,SumOfv8!$A$1:$H$200,2,),0)</f>
        <v>0</v>
      </c>
      <c r="D145">
        <f>IFERROR(VLOOKUP(B145,SumOfv8!$A$1:$H$200,3,),0)</f>
        <v>0</v>
      </c>
      <c r="E145">
        <f>IFERROR(VLOOKUP(B145,SumOfv8!$A$1:$H$200,4,),0)</f>
        <v>0</v>
      </c>
      <c r="F145">
        <f>IFERROR(VLOOKUP(B145,SumOfv8!$A$1:$H$200,5,),0)</f>
        <v>0</v>
      </c>
      <c r="G145">
        <f>IFERROR(VLOOKUP(B145,SumOfv8!$A$1:$H$200,6,),0)</f>
        <v>0</v>
      </c>
      <c r="H145">
        <f>IFERROR(VLOOKUP(B145,SumOfv8!$A$1:$H$200,7,),0)</f>
        <v>0</v>
      </c>
      <c r="I145">
        <f>IFERROR(VLOOKUP(B145,SumOfv8!$A$1:$H$200,8,),0)</f>
        <v>0</v>
      </c>
    </row>
    <row r="146" spans="1:9">
      <c r="A146" t="s">
        <v>188</v>
      </c>
      <c r="B146" s="1" t="s">
        <v>135</v>
      </c>
      <c r="C146">
        <f>IFERROR(VLOOKUP(B146,SumOfv8!$A$1:$H$200,2,),0)</f>
        <v>0</v>
      </c>
      <c r="D146">
        <f>IFERROR(VLOOKUP(B146,SumOfv8!$A$1:$H$200,3,),0)</f>
        <v>0</v>
      </c>
      <c r="E146">
        <f>IFERROR(VLOOKUP(B146,SumOfv8!$A$1:$H$200,4,),0)</f>
        <v>0</v>
      </c>
      <c r="F146">
        <f>IFERROR(VLOOKUP(B146,SumOfv8!$A$1:$H$200,5,),0)</f>
        <v>0</v>
      </c>
      <c r="G146">
        <f>IFERROR(VLOOKUP(B146,SumOfv8!$A$1:$H$200,6,),0)</f>
        <v>0</v>
      </c>
      <c r="H146">
        <f>IFERROR(VLOOKUP(B146,SumOfv8!$A$1:$H$200,7,),0)</f>
        <v>0</v>
      </c>
      <c r="I146">
        <f>IFERROR(VLOOKUP(B146,SumOfv8!$A$1:$H$200,8,),0)</f>
        <v>0</v>
      </c>
    </row>
    <row r="147" spans="1:9">
      <c r="A147" t="s">
        <v>188</v>
      </c>
      <c r="B147" s="1" t="s">
        <v>136</v>
      </c>
      <c r="C147">
        <f>IFERROR(VLOOKUP(B147,SumOfv8!$A$1:$H$200,2,),0)</f>
        <v>0</v>
      </c>
      <c r="D147">
        <f>IFERROR(VLOOKUP(B147,SumOfv8!$A$1:$H$200,3,),0)</f>
        <v>0</v>
      </c>
      <c r="E147">
        <f>IFERROR(VLOOKUP(B147,SumOfv8!$A$1:$H$200,4,),0)</f>
        <v>0</v>
      </c>
      <c r="F147">
        <f>IFERROR(VLOOKUP(B147,SumOfv8!$A$1:$H$200,5,),0)</f>
        <v>0</v>
      </c>
      <c r="G147">
        <f>IFERROR(VLOOKUP(B147,SumOfv8!$A$1:$H$200,6,),0)</f>
        <v>0</v>
      </c>
      <c r="H147">
        <f>IFERROR(VLOOKUP(B147,SumOfv8!$A$1:$H$200,7,),0)</f>
        <v>0</v>
      </c>
      <c r="I147">
        <f>IFERROR(VLOOKUP(B147,SumOfv8!$A$1:$H$200,8,),0)</f>
        <v>0</v>
      </c>
    </row>
    <row r="148" spans="1:9">
      <c r="A148" t="s">
        <v>188</v>
      </c>
      <c r="B148" s="1" t="s">
        <v>137</v>
      </c>
      <c r="C148">
        <f>IFERROR(VLOOKUP(B148,SumOfv8!$A$1:$H$200,2,),0)</f>
        <v>0</v>
      </c>
      <c r="D148">
        <f>IFERROR(VLOOKUP(B148,SumOfv8!$A$1:$H$200,3,),0)</f>
        <v>0</v>
      </c>
      <c r="E148">
        <f>IFERROR(VLOOKUP(B148,SumOfv8!$A$1:$H$200,4,),0)</f>
        <v>0</v>
      </c>
      <c r="F148">
        <f>IFERROR(VLOOKUP(B148,SumOfv8!$A$1:$H$200,5,),0)</f>
        <v>0</v>
      </c>
      <c r="G148">
        <f>IFERROR(VLOOKUP(B148,SumOfv8!$A$1:$H$200,6,),0)</f>
        <v>0</v>
      </c>
      <c r="H148">
        <f>IFERROR(VLOOKUP(B148,SumOfv8!$A$1:$H$200,7,),0)</f>
        <v>0</v>
      </c>
      <c r="I148">
        <f>IFERROR(VLOOKUP(B148,SumOfv8!$A$1:$H$200,8,),0)</f>
        <v>0</v>
      </c>
    </row>
    <row r="149" spans="1:9">
      <c r="A149" t="s">
        <v>188</v>
      </c>
      <c r="B149" s="1" t="s">
        <v>138</v>
      </c>
      <c r="C149">
        <f>IFERROR(VLOOKUP(B149,SumOfv8!$A$1:$H$200,2,),0)</f>
        <v>0</v>
      </c>
      <c r="D149">
        <f>IFERROR(VLOOKUP(B149,SumOfv8!$A$1:$H$200,3,),0)</f>
        <v>0</v>
      </c>
      <c r="E149">
        <f>IFERROR(VLOOKUP(B149,SumOfv8!$A$1:$H$200,4,),0)</f>
        <v>0</v>
      </c>
      <c r="F149">
        <f>IFERROR(VLOOKUP(B149,SumOfv8!$A$1:$H$200,5,),0)</f>
        <v>0</v>
      </c>
      <c r="G149">
        <f>IFERROR(VLOOKUP(B149,SumOfv8!$A$1:$H$200,6,),0)</f>
        <v>0</v>
      </c>
      <c r="H149">
        <f>IFERROR(VLOOKUP(B149,SumOfv8!$A$1:$H$200,7,),0)</f>
        <v>0</v>
      </c>
      <c r="I149">
        <f>IFERROR(VLOOKUP(B149,SumOfv8!$A$1:$H$200,8,),0)</f>
        <v>0</v>
      </c>
    </row>
    <row r="150" spans="1:9">
      <c r="A150" t="s">
        <v>188</v>
      </c>
      <c r="B150" s="1" t="s">
        <v>139</v>
      </c>
      <c r="C150">
        <f>IFERROR(VLOOKUP(B150,SumOfv8!$A$1:$H$200,2,),0)</f>
        <v>0</v>
      </c>
      <c r="D150">
        <f>IFERROR(VLOOKUP(B150,SumOfv8!$A$1:$H$200,3,),0)</f>
        <v>0</v>
      </c>
      <c r="E150">
        <f>IFERROR(VLOOKUP(B150,SumOfv8!$A$1:$H$200,4,),0)</f>
        <v>0</v>
      </c>
      <c r="F150">
        <f>IFERROR(VLOOKUP(B150,SumOfv8!$A$1:$H$200,5,),0)</f>
        <v>0</v>
      </c>
      <c r="G150">
        <f>IFERROR(VLOOKUP(B150,SumOfv8!$A$1:$H$200,6,),0)</f>
        <v>0</v>
      </c>
      <c r="H150">
        <f>IFERROR(VLOOKUP(B150,SumOfv8!$A$1:$H$200,7,),0)</f>
        <v>0</v>
      </c>
      <c r="I150">
        <f>IFERROR(VLOOKUP(B150,SumOfv8!$A$1:$H$200,8,),0)</f>
        <v>0</v>
      </c>
    </row>
    <row r="151" spans="1:9">
      <c r="A151" t="s">
        <v>188</v>
      </c>
      <c r="B151" s="1" t="s">
        <v>212</v>
      </c>
      <c r="C151">
        <f>IFERROR(VLOOKUP(B151,SumOfv8!$A$1:$H$200,2,),0)</f>
        <v>0</v>
      </c>
      <c r="D151">
        <f>IFERROR(VLOOKUP(B151,SumOfv8!$A$1:$H$200,3,),0)</f>
        <v>0</v>
      </c>
      <c r="E151">
        <f>IFERROR(VLOOKUP(B151,SumOfv8!$A$1:$H$200,4,),0)</f>
        <v>0</v>
      </c>
      <c r="F151">
        <f>IFERROR(VLOOKUP(B151,SumOfv8!$A$1:$H$200,5,),0)</f>
        <v>0</v>
      </c>
      <c r="G151">
        <f>IFERROR(VLOOKUP(B151,SumOfv8!$A$1:$H$200,6,),0)</f>
        <v>0</v>
      </c>
      <c r="H151">
        <f>IFERROR(VLOOKUP(B151,SumOfv8!$A$1:$H$200,7,),0)</f>
        <v>0</v>
      </c>
      <c r="I151">
        <f>IFERROR(VLOOKUP(B151,SumOfv8!$A$1:$H$200,8,),0)</f>
        <v>0</v>
      </c>
    </row>
    <row r="152" spans="1:9">
      <c r="A152" t="s">
        <v>188</v>
      </c>
      <c r="B152" s="1" t="s">
        <v>213</v>
      </c>
      <c r="C152">
        <f>IFERROR(VLOOKUP(B152,SumOfv8!$A$1:$H$200,2,),0)</f>
        <v>0</v>
      </c>
      <c r="D152">
        <f>IFERROR(VLOOKUP(B152,SumOfv8!$A$1:$H$200,3,),0)</f>
        <v>0</v>
      </c>
      <c r="E152">
        <f>IFERROR(VLOOKUP(B152,SumOfv8!$A$1:$H$200,4,),0)</f>
        <v>0</v>
      </c>
      <c r="F152">
        <f>IFERROR(VLOOKUP(B152,SumOfv8!$A$1:$H$200,5,),0)</f>
        <v>0</v>
      </c>
      <c r="G152">
        <f>IFERROR(VLOOKUP(B152,SumOfv8!$A$1:$H$200,6,),0)</f>
        <v>0</v>
      </c>
      <c r="H152">
        <f>IFERROR(VLOOKUP(B152,SumOfv8!$A$1:$H$200,7,),0)</f>
        <v>0</v>
      </c>
      <c r="I152">
        <f>IFERROR(VLOOKUP(B152,SumOfv8!$A$1:$H$200,8,),0)</f>
        <v>0</v>
      </c>
    </row>
    <row r="153" spans="1:9">
      <c r="A153" t="s">
        <v>188</v>
      </c>
      <c r="B153" s="1" t="s">
        <v>214</v>
      </c>
      <c r="C153">
        <f>IFERROR(VLOOKUP(B153,SumOfv8!$A$1:$H$200,2,),0)</f>
        <v>0</v>
      </c>
      <c r="D153">
        <f>IFERROR(VLOOKUP(B153,SumOfv8!$A$1:$H$200,3,),0)</f>
        <v>0</v>
      </c>
      <c r="E153">
        <f>IFERROR(VLOOKUP(B153,SumOfv8!$A$1:$H$200,4,),0)</f>
        <v>0</v>
      </c>
      <c r="F153">
        <f>IFERROR(VLOOKUP(B153,SumOfv8!$A$1:$H$200,5,),0)</f>
        <v>0</v>
      </c>
      <c r="G153">
        <f>IFERROR(VLOOKUP(B153,SumOfv8!$A$1:$H$200,6,),0)</f>
        <v>0</v>
      </c>
      <c r="H153">
        <f>IFERROR(VLOOKUP(B153,SumOfv8!$A$1:$H$200,7,),0)</f>
        <v>0</v>
      </c>
      <c r="I153">
        <f>IFERROR(VLOOKUP(B153,SumOfv8!$A$1:$H$200,8,),0)</f>
        <v>0</v>
      </c>
    </row>
    <row r="154" spans="1:9">
      <c r="A154" t="s">
        <v>188</v>
      </c>
      <c r="B154" s="1" t="s">
        <v>215</v>
      </c>
      <c r="C154">
        <f>IFERROR(VLOOKUP(B154,SumOfv8!$A$1:$H$200,2,),0)</f>
        <v>0</v>
      </c>
      <c r="D154">
        <f>IFERROR(VLOOKUP(B154,SumOfv8!$A$1:$H$200,3,),0)</f>
        <v>0</v>
      </c>
      <c r="E154">
        <f>IFERROR(VLOOKUP(B154,SumOfv8!$A$1:$H$200,4,),0)</f>
        <v>0</v>
      </c>
      <c r="F154">
        <f>IFERROR(VLOOKUP(B154,SumOfv8!$A$1:$H$200,5,),0)</f>
        <v>0</v>
      </c>
      <c r="G154">
        <f>IFERROR(VLOOKUP(B154,SumOfv8!$A$1:$H$200,6,),0)</f>
        <v>0</v>
      </c>
      <c r="H154">
        <f>IFERROR(VLOOKUP(B154,SumOfv8!$A$1:$H$200,7,),0)</f>
        <v>0</v>
      </c>
      <c r="I154">
        <f>IFERROR(VLOOKUP(B154,SumOfv8!$A$1:$H$200,8,),0)</f>
        <v>0</v>
      </c>
    </row>
    <row r="155" spans="1:9">
      <c r="A155" t="s">
        <v>188</v>
      </c>
      <c r="B155" s="1" t="s">
        <v>216</v>
      </c>
      <c r="C155">
        <f>IFERROR(VLOOKUP(B155,SumOfv8!$A$1:$H$200,2,),0)</f>
        <v>0</v>
      </c>
      <c r="D155">
        <f>IFERROR(VLOOKUP(B155,SumOfv8!$A$1:$H$200,3,),0)</f>
        <v>0</v>
      </c>
      <c r="E155">
        <f>IFERROR(VLOOKUP(B155,SumOfv8!$A$1:$H$200,4,),0)</f>
        <v>0</v>
      </c>
      <c r="F155">
        <f>IFERROR(VLOOKUP(B155,SumOfv8!$A$1:$H$200,5,),0)</f>
        <v>0</v>
      </c>
      <c r="G155">
        <f>IFERROR(VLOOKUP(B155,SumOfv8!$A$1:$H$200,6,),0)</f>
        <v>0</v>
      </c>
      <c r="H155">
        <f>IFERROR(VLOOKUP(B155,SumOfv8!$A$1:$H$200,7,),0)</f>
        <v>0</v>
      </c>
      <c r="I155">
        <f>IFERROR(VLOOKUP(B155,SumOfv8!$A$1:$H$200,8,),0)</f>
        <v>0</v>
      </c>
    </row>
    <row r="156" spans="1:9">
      <c r="A156" t="s">
        <v>188</v>
      </c>
      <c r="B156" s="1" t="s">
        <v>217</v>
      </c>
      <c r="C156">
        <f>IFERROR(VLOOKUP(B156,SumOfv8!$A$1:$H$200,2,),0)</f>
        <v>0</v>
      </c>
      <c r="D156">
        <f>IFERROR(VLOOKUP(B156,SumOfv8!$A$1:$H$200,3,),0)</f>
        <v>0</v>
      </c>
      <c r="E156">
        <f>IFERROR(VLOOKUP(B156,SumOfv8!$A$1:$H$200,4,),0)</f>
        <v>0</v>
      </c>
      <c r="F156">
        <f>IFERROR(VLOOKUP(B156,SumOfv8!$A$1:$H$200,5,),0)</f>
        <v>0</v>
      </c>
      <c r="G156">
        <f>IFERROR(VLOOKUP(B156,SumOfv8!$A$1:$H$200,6,),0)</f>
        <v>0</v>
      </c>
      <c r="H156">
        <f>IFERROR(VLOOKUP(B156,SumOfv8!$A$1:$H$200,7,),0)</f>
        <v>0</v>
      </c>
      <c r="I156">
        <f>IFERROR(VLOOKUP(B156,SumOfv8!$A$1:$H$200,8,),0)</f>
        <v>0</v>
      </c>
    </row>
    <row r="157" spans="1:9">
      <c r="A157" t="s">
        <v>188</v>
      </c>
      <c r="B157" s="1" t="s">
        <v>218</v>
      </c>
      <c r="C157">
        <f>IFERROR(VLOOKUP(B157,SumOfv8!$A$1:$H$200,2,),0)</f>
        <v>0</v>
      </c>
      <c r="D157">
        <f>IFERROR(VLOOKUP(B157,SumOfv8!$A$1:$H$200,3,),0)</f>
        <v>0</v>
      </c>
      <c r="E157">
        <f>IFERROR(VLOOKUP(B157,SumOfv8!$A$1:$H$200,4,),0)</f>
        <v>0</v>
      </c>
      <c r="F157">
        <f>IFERROR(VLOOKUP(B157,SumOfv8!$A$1:$H$200,5,),0)</f>
        <v>0</v>
      </c>
      <c r="G157">
        <f>IFERROR(VLOOKUP(B157,SumOfv8!$A$1:$H$200,6,),0)</f>
        <v>0</v>
      </c>
      <c r="H157">
        <f>IFERROR(VLOOKUP(B157,SumOfv8!$A$1:$H$200,7,),0)</f>
        <v>0</v>
      </c>
      <c r="I157">
        <f>IFERROR(VLOOKUP(B157,SumOfv8!$A$1:$H$200,8,),0)</f>
        <v>0</v>
      </c>
    </row>
    <row r="158" spans="1:9">
      <c r="A158" t="s">
        <v>188</v>
      </c>
      <c r="B158" s="1" t="s">
        <v>219</v>
      </c>
      <c r="C158">
        <f>IFERROR(VLOOKUP(B158,SumOfv8!$A$1:$H$200,2,),0)</f>
        <v>0</v>
      </c>
      <c r="D158">
        <f>IFERROR(VLOOKUP(B158,SumOfv8!$A$1:$H$200,3,),0)</f>
        <v>0</v>
      </c>
      <c r="E158">
        <f>IFERROR(VLOOKUP(B158,SumOfv8!$A$1:$H$200,4,),0)</f>
        <v>0</v>
      </c>
      <c r="F158">
        <f>IFERROR(VLOOKUP(B158,SumOfv8!$A$1:$H$200,5,),0)</f>
        <v>0</v>
      </c>
      <c r="G158">
        <f>IFERROR(VLOOKUP(B158,SumOfv8!$A$1:$H$200,6,),0)</f>
        <v>0</v>
      </c>
      <c r="H158">
        <f>IFERROR(VLOOKUP(B158,SumOfv8!$A$1:$H$200,7,),0)</f>
        <v>0</v>
      </c>
      <c r="I158">
        <f>IFERROR(VLOOKUP(B158,SumOfv8!$A$1:$H$200,8,),0)</f>
        <v>0</v>
      </c>
    </row>
    <row r="159" spans="1:9">
      <c r="A159" t="s">
        <v>188</v>
      </c>
      <c r="B159" s="1" t="s">
        <v>220</v>
      </c>
      <c r="C159">
        <f>IFERROR(VLOOKUP(B159,SumOfv8!$A$1:$H$200,2,),0)</f>
        <v>0</v>
      </c>
      <c r="D159">
        <f>IFERROR(VLOOKUP(B159,SumOfv8!$A$1:$H$200,3,),0)</f>
        <v>0</v>
      </c>
      <c r="E159">
        <f>IFERROR(VLOOKUP(B159,SumOfv8!$A$1:$H$200,4,),0)</f>
        <v>0</v>
      </c>
      <c r="F159">
        <f>IFERROR(VLOOKUP(B159,SumOfv8!$A$1:$H$200,5,),0)</f>
        <v>0</v>
      </c>
      <c r="G159">
        <f>IFERROR(VLOOKUP(B159,SumOfv8!$A$1:$H$200,6,),0)</f>
        <v>0</v>
      </c>
      <c r="H159">
        <f>IFERROR(VLOOKUP(B159,SumOfv8!$A$1:$H$200,7,),0)</f>
        <v>0</v>
      </c>
      <c r="I159">
        <f>IFERROR(VLOOKUP(B159,SumOfv8!$A$1:$H$200,8,),0)</f>
        <v>0</v>
      </c>
    </row>
    <row r="160" spans="1:9">
      <c r="A160" t="s">
        <v>187</v>
      </c>
      <c r="B160" s="1" t="s">
        <v>140</v>
      </c>
      <c r="C160">
        <f>IFERROR(VLOOKUP(B160,SumOfv8!$A$1:$H$200,2,),0)</f>
        <v>0</v>
      </c>
      <c r="D160">
        <f>IFERROR(VLOOKUP(B160,SumOfv8!$A$1:$H$200,3,),0)</f>
        <v>0</v>
      </c>
      <c r="E160">
        <f>IFERROR(VLOOKUP(B160,SumOfv8!$A$1:$H$200,4,),0)</f>
        <v>0</v>
      </c>
      <c r="F160">
        <f>IFERROR(VLOOKUP(B160,SumOfv8!$A$1:$H$200,5,),0)</f>
        <v>0</v>
      </c>
      <c r="G160">
        <f>IFERROR(VLOOKUP(B160,SumOfv8!$A$1:$H$200,6,),0)</f>
        <v>0</v>
      </c>
      <c r="H160">
        <f>IFERROR(VLOOKUP(B160,SumOfv8!$A$1:$H$200,7,),0)</f>
        <v>0</v>
      </c>
      <c r="I160">
        <f>IFERROR(VLOOKUP(B160,SumOfv8!$A$1:$H$200,8,),0)</f>
        <v>0</v>
      </c>
    </row>
    <row r="161" spans="1:9">
      <c r="A161" t="s">
        <v>187</v>
      </c>
      <c r="B161" s="1" t="s">
        <v>141</v>
      </c>
      <c r="C161">
        <f>IFERROR(VLOOKUP(B161,SumOfv8!$A$1:$H$200,2,),0)</f>
        <v>0</v>
      </c>
      <c r="D161">
        <f>IFERROR(VLOOKUP(B161,SumOfv8!$A$1:$H$200,3,),0)</f>
        <v>0</v>
      </c>
      <c r="E161">
        <f>IFERROR(VLOOKUP(B161,SumOfv8!$A$1:$H$200,4,),0)</f>
        <v>0</v>
      </c>
      <c r="F161">
        <f>IFERROR(VLOOKUP(B161,SumOfv8!$A$1:$H$200,5,),0)</f>
        <v>0</v>
      </c>
      <c r="G161">
        <f>IFERROR(VLOOKUP(B161,SumOfv8!$A$1:$H$200,6,),0)</f>
        <v>0</v>
      </c>
      <c r="H161">
        <f>IFERROR(VLOOKUP(B161,SumOfv8!$A$1:$H$200,7,),0)</f>
        <v>0</v>
      </c>
      <c r="I161">
        <f>IFERROR(VLOOKUP(B161,SumOfv8!$A$1:$H$200,8,),0)</f>
        <v>0</v>
      </c>
    </row>
    <row r="162" spans="1:9">
      <c r="A162" t="s">
        <v>187</v>
      </c>
      <c r="B162" s="1" t="s">
        <v>142</v>
      </c>
      <c r="C162">
        <f>IFERROR(VLOOKUP(B162,SumOfv8!$A$1:$H$200,2,),0)</f>
        <v>0</v>
      </c>
      <c r="D162">
        <f>IFERROR(VLOOKUP(B162,SumOfv8!$A$1:$H$200,3,),0)</f>
        <v>0</v>
      </c>
      <c r="E162">
        <f>IFERROR(VLOOKUP(B162,SumOfv8!$A$1:$H$200,4,),0)</f>
        <v>0</v>
      </c>
      <c r="F162">
        <f>IFERROR(VLOOKUP(B162,SumOfv8!$A$1:$H$200,5,),0)</f>
        <v>0</v>
      </c>
      <c r="G162">
        <f>IFERROR(VLOOKUP(B162,SumOfv8!$A$1:$H$200,6,),0)</f>
        <v>0</v>
      </c>
      <c r="H162">
        <f>IFERROR(VLOOKUP(B162,SumOfv8!$A$1:$H$200,7,),0)</f>
        <v>0</v>
      </c>
      <c r="I162">
        <f>IFERROR(VLOOKUP(B162,SumOfv8!$A$1:$H$200,8,),0)</f>
        <v>0</v>
      </c>
    </row>
    <row r="163" spans="1:9">
      <c r="A163" t="s">
        <v>187</v>
      </c>
      <c r="B163" s="1" t="s">
        <v>143</v>
      </c>
      <c r="C163">
        <f>IFERROR(VLOOKUP(B163,SumOfv8!$A$1:$H$200,2,),0)</f>
        <v>0</v>
      </c>
      <c r="D163">
        <f>IFERROR(VLOOKUP(B163,SumOfv8!$A$1:$H$200,3,),0)</f>
        <v>0</v>
      </c>
      <c r="E163">
        <f>IFERROR(VLOOKUP(B163,SumOfv8!$A$1:$H$200,4,),0)</f>
        <v>0</v>
      </c>
      <c r="F163">
        <f>IFERROR(VLOOKUP(B163,SumOfv8!$A$1:$H$200,5,),0)</f>
        <v>0</v>
      </c>
      <c r="G163">
        <f>IFERROR(VLOOKUP(B163,SumOfv8!$A$1:$H$200,6,),0)</f>
        <v>0</v>
      </c>
      <c r="H163">
        <f>IFERROR(VLOOKUP(B163,SumOfv8!$A$1:$H$200,7,),0)</f>
        <v>0</v>
      </c>
      <c r="I163">
        <f>IFERROR(VLOOKUP(B163,SumOfv8!$A$1:$H$200,8,),0)</f>
        <v>0</v>
      </c>
    </row>
    <row r="164" spans="1:9">
      <c r="A164" t="s">
        <v>187</v>
      </c>
      <c r="B164" s="1" t="s">
        <v>144</v>
      </c>
      <c r="C164">
        <f>IFERROR(VLOOKUP(B164,SumOfv8!$A$1:$H$200,2,),0)</f>
        <v>0</v>
      </c>
      <c r="D164">
        <f>IFERROR(VLOOKUP(B164,SumOfv8!$A$1:$H$200,3,),0)</f>
        <v>0</v>
      </c>
      <c r="E164">
        <f>IFERROR(VLOOKUP(B164,SumOfv8!$A$1:$H$200,4,),0)</f>
        <v>0</v>
      </c>
      <c r="F164">
        <f>IFERROR(VLOOKUP(B164,SumOfv8!$A$1:$H$200,5,),0)</f>
        <v>0</v>
      </c>
      <c r="G164">
        <f>IFERROR(VLOOKUP(B164,SumOfv8!$A$1:$H$200,6,),0)</f>
        <v>0</v>
      </c>
      <c r="H164">
        <f>IFERROR(VLOOKUP(B164,SumOfv8!$A$1:$H$200,7,),0)</f>
        <v>0</v>
      </c>
      <c r="I164">
        <f>IFERROR(VLOOKUP(B164,SumOfv8!$A$1:$H$200,8,),0)</f>
        <v>0</v>
      </c>
    </row>
    <row r="165" spans="1:9">
      <c r="A165" t="s">
        <v>187</v>
      </c>
      <c r="B165" s="1" t="s">
        <v>145</v>
      </c>
      <c r="C165">
        <f>IFERROR(VLOOKUP(B165,SumOfv8!$A$1:$H$200,2,),0)</f>
        <v>0</v>
      </c>
      <c r="D165">
        <f>IFERROR(VLOOKUP(B165,SumOfv8!$A$1:$H$200,3,),0)</f>
        <v>0</v>
      </c>
      <c r="E165">
        <f>IFERROR(VLOOKUP(B165,SumOfv8!$A$1:$H$200,4,),0)</f>
        <v>0</v>
      </c>
      <c r="F165">
        <f>IFERROR(VLOOKUP(B165,SumOfv8!$A$1:$H$200,5,),0)</f>
        <v>0</v>
      </c>
      <c r="G165">
        <f>IFERROR(VLOOKUP(B165,SumOfv8!$A$1:$H$200,6,),0)</f>
        <v>0</v>
      </c>
      <c r="H165">
        <f>IFERROR(VLOOKUP(B165,SumOfv8!$A$1:$H$200,7,),0)</f>
        <v>0</v>
      </c>
      <c r="I165">
        <f>IFERROR(VLOOKUP(B165,SumOfv8!$A$1:$H$200,8,),0)</f>
        <v>0</v>
      </c>
    </row>
    <row r="166" spans="1:9">
      <c r="A166" t="s">
        <v>187</v>
      </c>
      <c r="B166" s="1" t="s">
        <v>146</v>
      </c>
      <c r="C166">
        <f>IFERROR(VLOOKUP(B166,SumOfv8!$A$1:$H$200,2,),0)</f>
        <v>0</v>
      </c>
      <c r="D166">
        <f>IFERROR(VLOOKUP(B166,SumOfv8!$A$1:$H$200,3,),0)</f>
        <v>0</v>
      </c>
      <c r="E166">
        <f>IFERROR(VLOOKUP(B166,SumOfv8!$A$1:$H$200,4,),0)</f>
        <v>0</v>
      </c>
      <c r="F166">
        <f>IFERROR(VLOOKUP(B166,SumOfv8!$A$1:$H$200,5,),0)</f>
        <v>0</v>
      </c>
      <c r="G166">
        <f>IFERROR(VLOOKUP(B166,SumOfv8!$A$1:$H$200,6,),0)</f>
        <v>0</v>
      </c>
      <c r="H166">
        <f>IFERROR(VLOOKUP(B166,SumOfv8!$A$1:$H$200,7,),0)</f>
        <v>0</v>
      </c>
      <c r="I166">
        <f>IFERROR(VLOOKUP(B166,SumOfv8!$A$1:$H$200,8,),0)</f>
        <v>0</v>
      </c>
    </row>
    <row r="167" spans="1:9" s="6" customFormat="1">
      <c r="A167" s="6" t="s">
        <v>187</v>
      </c>
      <c r="B167" s="7" t="s">
        <v>147</v>
      </c>
      <c r="C167">
        <f>IFERROR(VLOOKUP(B167,SumOfv8!$A$1:$H$200,2,),0)</f>
        <v>0</v>
      </c>
      <c r="D167">
        <f>IFERROR(VLOOKUP(B167,SumOfv8!$A$1:$H$200,3,),0)</f>
        <v>0</v>
      </c>
      <c r="E167">
        <f>IFERROR(VLOOKUP(B167,SumOfv8!$A$1:$H$200,4,),0)</f>
        <v>0</v>
      </c>
      <c r="F167" s="6">
        <f>IFERROR(VLOOKUP(B167,SumOfv8!$A$1:$H$200,5,),0)</f>
        <v>0</v>
      </c>
      <c r="G167">
        <f>IFERROR(VLOOKUP(B167,SumOfv8!$A$1:$H$200,6,),0)</f>
        <v>0</v>
      </c>
      <c r="H167" s="6">
        <f>IFERROR(VLOOKUP(B167,SumOfv8!$A$1:$H$200,7,),0)</f>
        <v>0</v>
      </c>
      <c r="I167">
        <f>IFERROR(VLOOKUP(B167,SumOfv8!$A$1:$H$200,8,),0)</f>
        <v>0</v>
      </c>
    </row>
    <row r="168" spans="1:9">
      <c r="A168" t="s">
        <v>185</v>
      </c>
      <c r="B168" s="1" t="s">
        <v>148</v>
      </c>
      <c r="C168">
        <f>IFERROR(VLOOKUP(B168,SumOfv8!$A$1:$H$200,2,),0)</f>
        <v>0</v>
      </c>
      <c r="D168">
        <f>IFERROR(VLOOKUP(B168,SumOfv8!$A$1:$H$200,3,),0)</f>
        <v>0</v>
      </c>
      <c r="E168">
        <f>IFERROR(VLOOKUP(B168,SumOfv8!$A$1:$H$200,4,),0)</f>
        <v>0</v>
      </c>
      <c r="F168">
        <f>IFERROR(VLOOKUP(B168,SumOfv8!$A$1:$H$200,5,),0)</f>
        <v>0</v>
      </c>
      <c r="G168">
        <f>IFERROR(VLOOKUP(B168,SumOfv8!$A$1:$H$200,6,),0)</f>
        <v>0</v>
      </c>
      <c r="H168">
        <f>IFERROR(VLOOKUP(B168,SumOfv8!$A$1:$H$200,7,),0)</f>
        <v>0</v>
      </c>
      <c r="I168">
        <f>IFERROR(VLOOKUP(B168,SumOfv8!$A$1:$H$200,8,),0)</f>
        <v>0</v>
      </c>
    </row>
    <row r="169" spans="1:9">
      <c r="A169" t="s">
        <v>185</v>
      </c>
      <c r="B169" s="1" t="s">
        <v>149</v>
      </c>
      <c r="C169">
        <f>IFERROR(VLOOKUP(B169,SumOfv8!$A$1:$H$200,2,),0)</f>
        <v>0</v>
      </c>
      <c r="D169">
        <f>IFERROR(VLOOKUP(B169,SumOfv8!$A$1:$H$200,3,),0)</f>
        <v>0</v>
      </c>
      <c r="E169">
        <f>IFERROR(VLOOKUP(B169,SumOfv8!$A$1:$H$200,4,),0)</f>
        <v>0</v>
      </c>
      <c r="F169" s="6">
        <f>IFERROR(VLOOKUP(B169,SumOfv8!$A$1:$H$200,5,),0)</f>
        <v>0</v>
      </c>
      <c r="G169">
        <f>IFERROR(VLOOKUP(B169,SumOfv8!$A$1:$H$200,6,),0)</f>
        <v>0</v>
      </c>
      <c r="H169" s="6">
        <f>IFERROR(VLOOKUP(B169,SumOfv8!$A$1:$H$200,7,),0)</f>
        <v>0</v>
      </c>
      <c r="I169">
        <f>IFERROR(VLOOKUP(B169,SumOfv8!$A$1:$H$200,8,),0)</f>
        <v>0</v>
      </c>
    </row>
    <row r="170" spans="1:9">
      <c r="A170" t="s">
        <v>185</v>
      </c>
      <c r="B170" s="1" t="s">
        <v>150</v>
      </c>
      <c r="C170">
        <f>IFERROR(VLOOKUP(B170,SumOfv8!$A$1:$H$200,2,),0)</f>
        <v>0</v>
      </c>
      <c r="D170">
        <f>IFERROR(VLOOKUP(B170,SumOfv8!$A$1:$H$200,3,),0)</f>
        <v>0</v>
      </c>
      <c r="E170">
        <f>IFERROR(VLOOKUP(B170,SumOfv8!$A$1:$H$200,4,),0)</f>
        <v>0</v>
      </c>
      <c r="F170">
        <f>IFERROR(VLOOKUP(B170,SumOfv8!$A$1:$H$200,5,),0)</f>
        <v>0</v>
      </c>
      <c r="G170">
        <f>IFERROR(VLOOKUP(B170,SumOfv8!$A$1:$H$200,6,),0)</f>
        <v>0</v>
      </c>
      <c r="H170">
        <f>IFERROR(VLOOKUP(B170,SumOfv8!$A$1:$H$200,7,),0)</f>
        <v>0</v>
      </c>
      <c r="I170">
        <f>IFERROR(VLOOKUP(B170,SumOfv8!$A$1:$H$200,8,),0)</f>
        <v>0</v>
      </c>
    </row>
    <row r="171" spans="1:9">
      <c r="A171" t="s">
        <v>185</v>
      </c>
      <c r="B171" s="1" t="s">
        <v>151</v>
      </c>
      <c r="C171">
        <f>IFERROR(VLOOKUP(B171,SumOfv8!$A$1:$H$200,2,),0)</f>
        <v>0</v>
      </c>
      <c r="D171">
        <f>IFERROR(VLOOKUP(B171,SumOfv8!$A$1:$H$200,3,),0)</f>
        <v>0</v>
      </c>
      <c r="E171">
        <f>IFERROR(VLOOKUP(B171,SumOfv8!$A$1:$H$200,4,),0)</f>
        <v>0</v>
      </c>
      <c r="F171" s="6">
        <f>IFERROR(VLOOKUP(B171,SumOfv8!$A$1:$H$200,5,),0)</f>
        <v>0</v>
      </c>
      <c r="G171">
        <f>IFERROR(VLOOKUP(B171,SumOfv8!$A$1:$H$200,6,),0)</f>
        <v>0</v>
      </c>
      <c r="H171" s="6">
        <f>IFERROR(VLOOKUP(B171,SumOfv8!$A$1:$H$200,7,),0)</f>
        <v>0</v>
      </c>
      <c r="I171">
        <f>IFERROR(VLOOKUP(B171,SumOfv8!$A$1:$H$200,8,),0)</f>
        <v>0</v>
      </c>
    </row>
    <row r="172" spans="1:9">
      <c r="A172" t="s">
        <v>186</v>
      </c>
      <c r="B172" s="1" t="s">
        <v>152</v>
      </c>
      <c r="C172">
        <f>IFERROR(VLOOKUP(B172,SumOfv8!$A$1:$H$200,2,),0)</f>
        <v>0</v>
      </c>
      <c r="D172">
        <f>IFERROR(VLOOKUP(B172,SumOfv8!$A$1:$H$200,3,),0)</f>
        <v>0</v>
      </c>
      <c r="E172">
        <f>IFERROR(VLOOKUP(B172,SumOfv8!$A$1:$H$200,4,),0)</f>
        <v>0</v>
      </c>
      <c r="F172">
        <f>IFERROR(VLOOKUP(B172,SumOfv8!$A$1:$H$200,5,),0)</f>
        <v>0</v>
      </c>
      <c r="G172">
        <f>IFERROR(VLOOKUP(B172,SumOfv8!$A$1:$H$200,6,),0)</f>
        <v>0</v>
      </c>
      <c r="H172">
        <f>IFERROR(VLOOKUP(B172,SumOfv8!$A$1:$H$200,7,),0)</f>
        <v>0</v>
      </c>
      <c r="I172">
        <f>IFERROR(VLOOKUP(B172,SumOfv8!$A$1:$H$200,8,),0)</f>
        <v>0</v>
      </c>
    </row>
    <row r="173" spans="1:9">
      <c r="A173" t="s">
        <v>189</v>
      </c>
      <c r="B173" s="1" t="s">
        <v>153</v>
      </c>
      <c r="C173">
        <f>IFERROR(VLOOKUP(B173,SumOfv8!$A$1:$H$200,2,),0)</f>
        <v>0</v>
      </c>
      <c r="D173">
        <f>IFERROR(VLOOKUP(B173,SumOfv8!$A$1:$H$200,3,),0)</f>
        <v>0</v>
      </c>
      <c r="E173">
        <f>IFERROR(VLOOKUP(B173,SumOfv8!$A$1:$H$200,4,),0)</f>
        <v>0</v>
      </c>
      <c r="F173" s="6">
        <f>IFERROR(VLOOKUP(B173,SumOfv8!$A$1:$H$200,5,),0)</f>
        <v>0</v>
      </c>
      <c r="G173">
        <f>IFERROR(VLOOKUP(B173,SumOfv8!$A$1:$H$200,6,),0)</f>
        <v>0</v>
      </c>
      <c r="H173" s="6">
        <f>IFERROR(VLOOKUP(B173,SumOfv8!$A$1:$H$200,7,),0)</f>
        <v>0</v>
      </c>
      <c r="I173">
        <f>IFERROR(VLOOKUP(B173,SumOfv8!$A$1:$H$200,8,),0)</f>
        <v>0</v>
      </c>
    </row>
    <row r="174" spans="1:9">
      <c r="A174" t="s">
        <v>189</v>
      </c>
      <c r="B174" s="1" t="s">
        <v>154</v>
      </c>
      <c r="C174">
        <f>IFERROR(VLOOKUP(B174,SumOfv8!$A$1:$H$200,2,),0)</f>
        <v>0</v>
      </c>
      <c r="D174">
        <f>IFERROR(VLOOKUP(B174,SumOfv8!$A$1:$H$200,3,),0)</f>
        <v>0</v>
      </c>
      <c r="E174">
        <f>IFERROR(VLOOKUP(B174,SumOfv8!$A$1:$H$200,4,),0)</f>
        <v>0</v>
      </c>
      <c r="F174">
        <f>IFERROR(VLOOKUP(B174,SumOfv8!$A$1:$H$200,5,),0)</f>
        <v>0</v>
      </c>
      <c r="G174">
        <f>IFERROR(VLOOKUP(B174,SumOfv8!$A$1:$H$200,6,),0)</f>
        <v>0</v>
      </c>
      <c r="H174">
        <f>IFERROR(VLOOKUP(B174,SumOfv8!$A$1:$H$200,7,),0)</f>
        <v>0</v>
      </c>
      <c r="I174">
        <f>IFERROR(VLOOKUP(B174,SumOfv8!$A$1:$H$200,8,),0)</f>
        <v>0</v>
      </c>
    </row>
    <row r="175" spans="1:9">
      <c r="A175" t="s">
        <v>201</v>
      </c>
      <c r="B175" s="1" t="s">
        <v>155</v>
      </c>
      <c r="C175">
        <f>IFERROR(VLOOKUP(B175,SumOfv8!$A$1:$H$200,2,),0)</f>
        <v>0</v>
      </c>
      <c r="D175">
        <f>IFERROR(VLOOKUP(B175,SumOfv8!$A$1:$H$200,3,),0)</f>
        <v>0</v>
      </c>
      <c r="E175">
        <f>IFERROR(VLOOKUP(B175,SumOfv8!$A$1:$H$200,4,),0)</f>
        <v>0</v>
      </c>
      <c r="F175" s="6">
        <f>IFERROR(VLOOKUP(B175,SumOfv8!$A$1:$H$200,5,),0)</f>
        <v>0</v>
      </c>
      <c r="G175">
        <f>IFERROR(VLOOKUP(B175,SumOfv8!$A$1:$H$200,6,),0)</f>
        <v>0</v>
      </c>
      <c r="H175" s="6">
        <f>IFERROR(VLOOKUP(B175,SumOfv8!$A$1:$H$200,7,),0)</f>
        <v>0</v>
      </c>
      <c r="I175">
        <f>IFERROR(VLOOKUP(B175,SumOfv8!$A$1:$H$200,8,),0)</f>
        <v>0</v>
      </c>
    </row>
    <row r="176" spans="1:9">
      <c r="A176" t="s">
        <v>201</v>
      </c>
      <c r="B176" s="1" t="s">
        <v>156</v>
      </c>
      <c r="C176">
        <f>IFERROR(VLOOKUP(B176,SumOfv8!$A$1:$H$200,2,),0)</f>
        <v>0</v>
      </c>
      <c r="D176">
        <f>IFERROR(VLOOKUP(B176,SumOfv8!$A$1:$H$200,3,),0)</f>
        <v>0</v>
      </c>
      <c r="E176">
        <f>IFERROR(VLOOKUP(B176,SumOfv8!$A$1:$H$200,4,),0)</f>
        <v>0</v>
      </c>
      <c r="F176">
        <f>IFERROR(VLOOKUP(B176,SumOfv8!$A$1:$H$200,5,),0)</f>
        <v>0</v>
      </c>
      <c r="G176">
        <f>IFERROR(VLOOKUP(B176,SumOfv8!$A$1:$H$200,6,),0)</f>
        <v>0</v>
      </c>
      <c r="H176">
        <f>IFERROR(VLOOKUP(B176,SumOfv8!$A$1:$H$200,7,),0)</f>
        <v>0</v>
      </c>
      <c r="I176">
        <f>IFERROR(VLOOKUP(B176,SumOfv8!$A$1:$H$200,8,),0)</f>
        <v>0</v>
      </c>
    </row>
    <row r="177" spans="1:9">
      <c r="A177" t="s">
        <v>201</v>
      </c>
      <c r="B177" s="1" t="s">
        <v>157</v>
      </c>
      <c r="C177">
        <f>IFERROR(VLOOKUP(B177,SumOfv8!$A$1:$H$200,2,),0)</f>
        <v>0</v>
      </c>
      <c r="D177">
        <f>IFERROR(VLOOKUP(B177,SumOfv8!$A$1:$H$200,3,),0)</f>
        <v>0</v>
      </c>
      <c r="E177">
        <f>IFERROR(VLOOKUP(B177,SumOfv8!$A$1:$H$200,4,),0)</f>
        <v>0</v>
      </c>
      <c r="F177" s="6">
        <f>IFERROR(VLOOKUP(B177,SumOfv8!$A$1:$H$200,5,),0)</f>
        <v>0</v>
      </c>
      <c r="G177">
        <f>IFERROR(VLOOKUP(B177,SumOfv8!$A$1:$H$200,6,),0)</f>
        <v>0</v>
      </c>
      <c r="H177" s="6">
        <f>IFERROR(VLOOKUP(B177,SumOfv8!$A$1:$H$200,7,),0)</f>
        <v>0</v>
      </c>
      <c r="I177">
        <f>IFERROR(VLOOKUP(B177,SumOfv8!$A$1:$H$200,8,),0)</f>
        <v>0</v>
      </c>
    </row>
    <row r="178" spans="1:9">
      <c r="A178" t="s">
        <v>201</v>
      </c>
      <c r="B178" s="1" t="s">
        <v>158</v>
      </c>
      <c r="C178">
        <f>IFERROR(VLOOKUP(B178,SumOfv8!$A$1:$H$200,2,),0)</f>
        <v>0</v>
      </c>
      <c r="D178">
        <f>IFERROR(VLOOKUP(B178,SumOfv8!$A$1:$H$200,3,),0)</f>
        <v>0</v>
      </c>
      <c r="E178">
        <f>IFERROR(VLOOKUP(B178,SumOfv8!$A$1:$H$200,4,),0)</f>
        <v>0</v>
      </c>
      <c r="F178">
        <f>IFERROR(VLOOKUP(B178,SumOfv8!$A$1:$H$200,5,),0)</f>
        <v>0</v>
      </c>
      <c r="G178">
        <f>IFERROR(VLOOKUP(B178,SumOfv8!$A$1:$H$200,6,),0)</f>
        <v>0</v>
      </c>
      <c r="H178">
        <f>IFERROR(VLOOKUP(B178,SumOfv8!$A$1:$H$200,7,),0)</f>
        <v>0</v>
      </c>
      <c r="I178">
        <f>IFERROR(VLOOKUP(B178,SumOfv8!$A$1:$H$200,8,),0)</f>
        <v>0</v>
      </c>
    </row>
    <row r="179" spans="1:9">
      <c r="A179" t="s">
        <v>201</v>
      </c>
      <c r="B179" s="1" t="s">
        <v>159</v>
      </c>
      <c r="C179">
        <f>IFERROR(VLOOKUP(B179,SumOfv8!$A$1:$H$200,2,),0)</f>
        <v>0</v>
      </c>
      <c r="D179">
        <f>IFERROR(VLOOKUP(B179,SumOfv8!$A$1:$H$200,3,),0)</f>
        <v>0</v>
      </c>
      <c r="E179">
        <f>IFERROR(VLOOKUP(B179,SumOfv8!$A$1:$H$200,4,),0)</f>
        <v>0</v>
      </c>
      <c r="F179" s="6">
        <f>IFERROR(VLOOKUP(B179,SumOfv8!$A$1:$H$200,5,),0)</f>
        <v>0</v>
      </c>
      <c r="G179">
        <f>IFERROR(VLOOKUP(B179,SumOfv8!$A$1:$H$200,6,),0)</f>
        <v>0</v>
      </c>
      <c r="H179" s="6">
        <f>IFERROR(VLOOKUP(B179,SumOfv8!$A$1:$H$200,7,),0)</f>
        <v>0</v>
      </c>
      <c r="I179">
        <f>IFERROR(VLOOKUP(B179,SumOfv8!$A$1:$H$200,8,),0)</f>
        <v>0</v>
      </c>
    </row>
    <row r="180" spans="1:9">
      <c r="A180" t="s">
        <v>201</v>
      </c>
      <c r="B180" s="1" t="s">
        <v>160</v>
      </c>
      <c r="C180">
        <f>IFERROR(VLOOKUP(B180,SumOfv8!$A$1:$H$200,2,),0)</f>
        <v>0</v>
      </c>
      <c r="D180">
        <f>IFERROR(VLOOKUP(B180,SumOfv8!$A$1:$H$200,3,),0)</f>
        <v>0</v>
      </c>
      <c r="E180">
        <f>IFERROR(VLOOKUP(B180,SumOfv8!$A$1:$H$200,4,),0)</f>
        <v>0</v>
      </c>
      <c r="F180">
        <f>IFERROR(VLOOKUP(B180,SumOfv8!$A$1:$H$200,5,),0)</f>
        <v>0</v>
      </c>
      <c r="G180">
        <f>IFERROR(VLOOKUP(B180,SumOfv8!$A$1:$H$200,6,),0)</f>
        <v>0</v>
      </c>
      <c r="H180">
        <f>IFERROR(VLOOKUP(B180,SumOfv8!$A$1:$H$200,7,),0)</f>
        <v>0</v>
      </c>
      <c r="I180">
        <f>IFERROR(VLOOKUP(B180,SumOfv8!$A$1:$H$200,8,),0)</f>
        <v>0</v>
      </c>
    </row>
    <row r="181" spans="1:9">
      <c r="A181" t="s">
        <v>201</v>
      </c>
      <c r="B181" s="1" t="s">
        <v>161</v>
      </c>
      <c r="C181">
        <f>IFERROR(VLOOKUP(B181,SumOfv8!$A$1:$H$200,2,),0)</f>
        <v>0</v>
      </c>
      <c r="D181">
        <f>IFERROR(VLOOKUP(B181,SumOfv8!$A$1:$H$200,3,),0)</f>
        <v>0</v>
      </c>
      <c r="E181">
        <f>IFERROR(VLOOKUP(B181,SumOfv8!$A$1:$H$200,4,),0)</f>
        <v>0</v>
      </c>
      <c r="F181" s="6">
        <f>IFERROR(VLOOKUP(B181,SumOfv8!$A$1:$H$200,5,),0)</f>
        <v>0</v>
      </c>
      <c r="G181">
        <f>IFERROR(VLOOKUP(B181,SumOfv8!$A$1:$H$200,6,),0)</f>
        <v>0</v>
      </c>
      <c r="H181" s="6">
        <f>IFERROR(VLOOKUP(B181,SumOfv8!$A$1:$H$200,7,),0)</f>
        <v>0</v>
      </c>
      <c r="I181">
        <f>IFERROR(VLOOKUP(B181,SumOfv8!$A$1:$H$200,8,),0)</f>
        <v>0</v>
      </c>
    </row>
    <row r="182" spans="1:9">
      <c r="A182" t="s">
        <v>201</v>
      </c>
      <c r="B182" s="1" t="s">
        <v>162</v>
      </c>
      <c r="C182">
        <f>IFERROR(VLOOKUP(B182,SumOfv8!$A$1:$H$200,2,),0)</f>
        <v>0</v>
      </c>
      <c r="D182">
        <f>IFERROR(VLOOKUP(B182,SumOfv8!$A$1:$H$200,3,),0)</f>
        <v>0</v>
      </c>
      <c r="E182">
        <f>IFERROR(VLOOKUP(B182,SumOfv8!$A$1:$H$200,4,),0)</f>
        <v>0</v>
      </c>
      <c r="F182">
        <f>IFERROR(VLOOKUP(B182,SumOfv8!$A$1:$H$200,5,),0)</f>
        <v>0</v>
      </c>
      <c r="G182">
        <f>IFERROR(VLOOKUP(B182,SumOfv8!$A$1:$H$200,6,),0)</f>
        <v>0</v>
      </c>
      <c r="H182">
        <f>IFERROR(VLOOKUP(B182,SumOfv8!$A$1:$H$200,7,),0)</f>
        <v>0</v>
      </c>
      <c r="I182">
        <f>IFERROR(VLOOKUP(B182,SumOfv8!$A$1:$H$200,8,),0)</f>
        <v>0</v>
      </c>
    </row>
    <row r="183" spans="1:9">
      <c r="A183" t="s">
        <v>201</v>
      </c>
      <c r="B183" s="1" t="s">
        <v>163</v>
      </c>
      <c r="C183">
        <f>IFERROR(VLOOKUP(B183,SumOfv8!$A$1:$H$200,2,),0)</f>
        <v>0</v>
      </c>
      <c r="D183">
        <f>IFERROR(VLOOKUP(B183,SumOfv8!$A$1:$H$200,3,),0)</f>
        <v>0</v>
      </c>
      <c r="E183">
        <f>IFERROR(VLOOKUP(B183,SumOfv8!$A$1:$H$200,4,),0)</f>
        <v>0</v>
      </c>
      <c r="F183" s="6">
        <f>IFERROR(VLOOKUP(B183,SumOfv8!$A$1:$H$200,5,),0)</f>
        <v>0</v>
      </c>
      <c r="G183">
        <f>IFERROR(VLOOKUP(B183,SumOfv8!$A$1:$H$200,6,),0)</f>
        <v>0</v>
      </c>
      <c r="H183" s="6">
        <f>IFERROR(VLOOKUP(B183,SumOfv8!$A$1:$H$200,7,),0)</f>
        <v>0</v>
      </c>
      <c r="I183">
        <f>IFERROR(VLOOKUP(B183,SumOfv8!$A$1:$H$200,8,),0)</f>
        <v>0</v>
      </c>
    </row>
    <row r="184" spans="1:9">
      <c r="A184" t="s">
        <v>201</v>
      </c>
      <c r="B184" s="1" t="s">
        <v>164</v>
      </c>
      <c r="C184">
        <f>IFERROR(VLOOKUP(B184,SumOfv8!$A$1:$H$200,2,),0)</f>
        <v>0</v>
      </c>
      <c r="D184">
        <f>IFERROR(VLOOKUP(B184,SumOfv8!$A$1:$H$200,3,),0)</f>
        <v>0</v>
      </c>
      <c r="E184">
        <f>IFERROR(VLOOKUP(B184,SumOfv8!$A$1:$H$200,4,),0)</f>
        <v>0</v>
      </c>
      <c r="F184">
        <f>IFERROR(VLOOKUP(B184,SumOfv8!$A$1:$H$200,5,),0)</f>
        <v>0</v>
      </c>
      <c r="G184">
        <f>IFERROR(VLOOKUP(B184,SumOfv8!$A$1:$H$200,6,),0)</f>
        <v>0</v>
      </c>
      <c r="H184">
        <f>IFERROR(VLOOKUP(B184,SumOfv8!$A$1:$H$200,7,),0)</f>
        <v>0</v>
      </c>
      <c r="I184">
        <f>IFERROR(VLOOKUP(B184,SumOfv8!$A$1:$H$200,8,),0)</f>
        <v>0</v>
      </c>
    </row>
    <row r="185" spans="1:9">
      <c r="A185" t="s">
        <v>201</v>
      </c>
      <c r="B185" s="1" t="s">
        <v>165</v>
      </c>
      <c r="C185">
        <f>IFERROR(VLOOKUP(B185,SumOfv8!$A$1:$H$200,2,),0)</f>
        <v>0</v>
      </c>
      <c r="D185">
        <f>IFERROR(VLOOKUP(B185,SumOfv8!$A$1:$H$200,3,),0)</f>
        <v>0</v>
      </c>
      <c r="E185">
        <f>IFERROR(VLOOKUP(B185,SumOfv8!$A$1:$H$200,4,),0)</f>
        <v>0</v>
      </c>
      <c r="F185" s="6">
        <f>IFERROR(VLOOKUP(B185,SumOfv8!$A$1:$H$200,5,),0)</f>
        <v>0</v>
      </c>
      <c r="G185">
        <f>IFERROR(VLOOKUP(B185,SumOfv8!$A$1:$H$200,6,),0)</f>
        <v>0</v>
      </c>
      <c r="H185" s="6">
        <f>IFERROR(VLOOKUP(B185,SumOfv8!$A$1:$H$200,7,),0)</f>
        <v>0</v>
      </c>
      <c r="I185">
        <f>IFERROR(VLOOKUP(B185,SumOfv8!$A$1:$H$200,8,),0)</f>
        <v>0</v>
      </c>
    </row>
    <row r="186" spans="1:9">
      <c r="A186" t="s">
        <v>201</v>
      </c>
      <c r="B186" s="1" t="s">
        <v>166</v>
      </c>
      <c r="C186">
        <f>IFERROR(VLOOKUP(B186,SumOfv8!$A$1:$H$200,2,),0)</f>
        <v>0</v>
      </c>
      <c r="D186">
        <f>IFERROR(VLOOKUP(B186,SumOfv8!$A$1:$H$200,3,),0)</f>
        <v>0</v>
      </c>
      <c r="E186">
        <f>IFERROR(VLOOKUP(B186,SumOfv8!$A$1:$H$200,4,),0)</f>
        <v>0</v>
      </c>
      <c r="F186">
        <f>IFERROR(VLOOKUP(B186,SumOfv8!$A$1:$H$200,5,),0)</f>
        <v>0</v>
      </c>
      <c r="G186">
        <f>IFERROR(VLOOKUP(B186,SumOfv8!$A$1:$H$200,6,),0)</f>
        <v>0</v>
      </c>
      <c r="H186">
        <f>IFERROR(VLOOKUP(B186,SumOfv8!$A$1:$H$200,7,),0)</f>
        <v>0</v>
      </c>
      <c r="I186">
        <f>IFERROR(VLOOKUP(B186,SumOfv8!$A$1:$H$200,8,),0)</f>
        <v>0</v>
      </c>
    </row>
    <row r="187" spans="1:9">
      <c r="A187" t="s">
        <v>201</v>
      </c>
      <c r="B187" s="1" t="s">
        <v>167</v>
      </c>
      <c r="C187">
        <f>IFERROR(VLOOKUP(B187,SumOfv8!$A$1:$H$200,2,),0)</f>
        <v>0</v>
      </c>
      <c r="D187">
        <f>IFERROR(VLOOKUP(B187,SumOfv8!$A$1:$H$200,3,),0)</f>
        <v>0</v>
      </c>
      <c r="E187">
        <f>IFERROR(VLOOKUP(B187,SumOfv8!$A$1:$H$200,4,),0)</f>
        <v>0</v>
      </c>
      <c r="F187" s="6">
        <f>IFERROR(VLOOKUP(B187,SumOfv8!$A$1:$H$200,5,),0)</f>
        <v>0</v>
      </c>
      <c r="G187">
        <f>IFERROR(VLOOKUP(B187,SumOfv8!$A$1:$H$200,6,),0)</f>
        <v>0</v>
      </c>
      <c r="H187" s="6">
        <f>IFERROR(VLOOKUP(B187,SumOfv8!$A$1:$H$200,7,),0)</f>
        <v>0</v>
      </c>
      <c r="I187">
        <f>IFERROR(VLOOKUP(B187,SumOfv8!$A$1:$H$200,8,),0)</f>
        <v>0</v>
      </c>
    </row>
    <row r="188" spans="1:9">
      <c r="A188" t="s">
        <v>201</v>
      </c>
      <c r="B188" s="1" t="s">
        <v>168</v>
      </c>
      <c r="C188">
        <f>IFERROR(VLOOKUP(B188,SumOfv8!$A$1:$H$200,2,),0)</f>
        <v>0</v>
      </c>
      <c r="D188">
        <f>IFERROR(VLOOKUP(B188,SumOfv8!$A$1:$H$200,3,),0)</f>
        <v>0</v>
      </c>
      <c r="E188">
        <f>IFERROR(VLOOKUP(B188,SumOfv8!$A$1:$H$200,4,),0)</f>
        <v>0</v>
      </c>
      <c r="F188">
        <f>IFERROR(VLOOKUP(B188,SumOfv8!$A$1:$H$200,5,),0)</f>
        <v>0</v>
      </c>
      <c r="G188">
        <f>IFERROR(VLOOKUP(B188,SumOfv8!$A$1:$H$200,6,),0)</f>
        <v>0</v>
      </c>
      <c r="H188">
        <f>IFERROR(VLOOKUP(B188,SumOfv8!$A$1:$H$200,7,),0)</f>
        <v>0</v>
      </c>
      <c r="I188">
        <f>IFERROR(VLOOKUP(B188,SumOfv8!$A$1:$H$200,8,),0)</f>
        <v>0</v>
      </c>
    </row>
    <row r="189" spans="1:9">
      <c r="A189" t="s">
        <v>201</v>
      </c>
      <c r="B189" s="1" t="s">
        <v>170</v>
      </c>
      <c r="C189">
        <f>IFERROR(VLOOKUP(B189,SumOfv8!$A$1:$H$200,2,),0)</f>
        <v>0</v>
      </c>
      <c r="D189">
        <f>IFERROR(VLOOKUP(B189,SumOfv8!$A$1:$H$200,3,),0)</f>
        <v>0</v>
      </c>
      <c r="E189">
        <f>IFERROR(VLOOKUP(B189,SumOfv8!$A$1:$H$200,4,),0)</f>
        <v>0</v>
      </c>
      <c r="F189">
        <f>IFERROR(VLOOKUP(B189,SumOfv8!$A$1:$H$200,5,),0)</f>
        <v>0</v>
      </c>
      <c r="G189">
        <f>IFERROR(VLOOKUP(B189,SumOfv8!$A$1:$H$200,6,),0)</f>
        <v>0</v>
      </c>
      <c r="H189">
        <f>IFERROR(VLOOKUP(B189,SumOfv8!$A$1:$H$200,7,),0)</f>
        <v>0</v>
      </c>
      <c r="I189">
        <f>IFERROR(VLOOKUP(B189,SumOfv8!$A$1:$H$200,8,),0)</f>
        <v>0</v>
      </c>
    </row>
    <row r="190" spans="1:9">
      <c r="A190" t="s">
        <v>201</v>
      </c>
      <c r="B190" s="1" t="s">
        <v>171</v>
      </c>
      <c r="C190">
        <f>IFERROR(VLOOKUP(B190,SumOfv8!$A$1:$H$200,2,),0)</f>
        <v>0</v>
      </c>
      <c r="D190">
        <f>IFERROR(VLOOKUP(B190,SumOfv8!$A$1:$H$200,3,),0)</f>
        <v>0</v>
      </c>
      <c r="E190">
        <f>IFERROR(VLOOKUP(B190,SumOfv8!$A$1:$H$200,4,),0)</f>
        <v>0</v>
      </c>
      <c r="F190" s="6">
        <f>IFERROR(VLOOKUP(B190,SumOfv8!$A$1:$H$200,5,),0)</f>
        <v>0</v>
      </c>
      <c r="G190">
        <f>IFERROR(VLOOKUP(B190,SumOfv8!$A$1:$H$200,6,),0)</f>
        <v>0</v>
      </c>
      <c r="H190" s="6">
        <f>IFERROR(VLOOKUP(B190,SumOfv8!$A$1:$H$200,7,),0)</f>
        <v>0</v>
      </c>
      <c r="I190">
        <f>IFERROR(VLOOKUP(B190,SumOfv8!$A$1:$H$200,8,),0)</f>
        <v>0</v>
      </c>
    </row>
    <row r="191" spans="1:9">
      <c r="A191" t="s">
        <v>201</v>
      </c>
      <c r="B191" s="1" t="s">
        <v>172</v>
      </c>
      <c r="C191">
        <f>IFERROR(VLOOKUP(B191,SumOfv8!$A$1:$H$200,2,),0)</f>
        <v>0</v>
      </c>
      <c r="D191">
        <f>IFERROR(VLOOKUP(B191,SumOfv8!$A$1:$H$200,3,),0)</f>
        <v>0</v>
      </c>
      <c r="E191">
        <f>IFERROR(VLOOKUP(B191,SumOfv8!$A$1:$H$200,4,),0)</f>
        <v>0</v>
      </c>
      <c r="F191">
        <f>IFERROR(VLOOKUP(B191,SumOfv8!$A$1:$H$200,5,),0)</f>
        <v>0</v>
      </c>
      <c r="G191">
        <f>IFERROR(VLOOKUP(B191,SumOfv8!$A$1:$H$200,6,),0)</f>
        <v>0</v>
      </c>
      <c r="H191">
        <f>IFERROR(VLOOKUP(B191,SumOfv8!$A$1:$H$200,7,),0)</f>
        <v>0</v>
      </c>
      <c r="I191">
        <f>IFERROR(VLOOKUP(B191,SumOfv8!$A$1:$H$200,8,),0)</f>
        <v>0</v>
      </c>
    </row>
    <row r="192" spans="1:9">
      <c r="A192" t="s">
        <v>201</v>
      </c>
      <c r="B192" s="1" t="s">
        <v>173</v>
      </c>
      <c r="C192">
        <f>IFERROR(VLOOKUP(B192,SumOfv8!$A$1:$H$200,2,),0)</f>
        <v>0</v>
      </c>
      <c r="D192">
        <f>IFERROR(VLOOKUP(B192,SumOfv8!$A$1:$H$200,3,),0)</f>
        <v>0</v>
      </c>
      <c r="E192">
        <f>IFERROR(VLOOKUP(B192,SumOfv8!$A$1:$H$200,4,),0)</f>
        <v>0</v>
      </c>
      <c r="F192" s="6">
        <f>IFERROR(VLOOKUP(B192,SumOfv8!$A$1:$H$200,5,),0)</f>
        <v>0</v>
      </c>
      <c r="G192">
        <f>IFERROR(VLOOKUP(B192,SumOfv8!$A$1:$H$200,6,),0)</f>
        <v>0</v>
      </c>
      <c r="H192" s="6">
        <f>IFERROR(VLOOKUP(B192,SumOfv8!$A$1:$H$200,7,),0)</f>
        <v>0</v>
      </c>
      <c r="I192">
        <f>IFERROR(VLOOKUP(B192,SumOfv8!$A$1:$H$200,8,),0)</f>
        <v>0</v>
      </c>
    </row>
    <row r="193" spans="1:9">
      <c r="A193" t="s">
        <v>201</v>
      </c>
      <c r="B193" s="1" t="s">
        <v>174</v>
      </c>
      <c r="C193">
        <f>IFERROR(VLOOKUP(B193,SumOfv8!$A$1:$H$200,2,),0)</f>
        <v>0</v>
      </c>
      <c r="D193">
        <f>IFERROR(VLOOKUP(B193,SumOfv8!$A$1:$H$200,3,),0)</f>
        <v>0</v>
      </c>
      <c r="E193">
        <f>IFERROR(VLOOKUP(B193,SumOfv8!$A$1:$H$200,4,),0)</f>
        <v>0</v>
      </c>
      <c r="F193">
        <f>IFERROR(VLOOKUP(B193,SumOfv8!$A$1:$H$200,5,),0)</f>
        <v>0</v>
      </c>
      <c r="G193">
        <f>IFERROR(VLOOKUP(B193,SumOfv8!$A$1:$H$200,6,),0)</f>
        <v>0</v>
      </c>
      <c r="H193">
        <f>IFERROR(VLOOKUP(B193,SumOfv8!$A$1:$H$200,7,),0)</f>
        <v>0</v>
      </c>
      <c r="I193">
        <f>IFERROR(VLOOKUP(B193,SumOfv8!$A$1:$H$200,8,),0)</f>
        <v>0</v>
      </c>
    </row>
    <row r="194" spans="1:9">
      <c r="A194" t="s">
        <v>201</v>
      </c>
      <c r="B194" s="1" t="s">
        <v>175</v>
      </c>
      <c r="C194">
        <f>IFERROR(VLOOKUP(B194,SumOfv8!$A$1:$H$200,2,),0)</f>
        <v>0</v>
      </c>
      <c r="D194">
        <f>IFERROR(VLOOKUP(B194,SumOfv8!$A$1:$H$200,3,),0)</f>
        <v>0</v>
      </c>
      <c r="E194">
        <f>IFERROR(VLOOKUP(B194,SumOfv8!$A$1:$H$200,4,),0)</f>
        <v>0</v>
      </c>
      <c r="F194" s="6">
        <f>IFERROR(VLOOKUP(B194,SumOfv8!$A$1:$H$200,5,),0)</f>
        <v>0</v>
      </c>
      <c r="G194">
        <f>IFERROR(VLOOKUP(B194,SumOfv8!$A$1:$H$200,6,),0)</f>
        <v>0</v>
      </c>
      <c r="H194" s="6">
        <f>IFERROR(VLOOKUP(B194,SumOfv8!$A$1:$H$200,7,),0)</f>
        <v>0</v>
      </c>
      <c r="I194">
        <f>IFERROR(VLOOKUP(B194,SumOfv8!$A$1:$H$200,8,),0)</f>
        <v>0</v>
      </c>
    </row>
    <row r="195" spans="1:9">
      <c r="A195" t="s">
        <v>188</v>
      </c>
      <c r="B195" s="1" t="s">
        <v>176</v>
      </c>
      <c r="C195">
        <f>IFERROR(VLOOKUP(B195,SumOfv8!$A$1:$H$200,2,),0)</f>
        <v>0</v>
      </c>
      <c r="D195">
        <f>IFERROR(VLOOKUP(B195,SumOfv8!$A$1:$H$200,3,),0)</f>
        <v>0</v>
      </c>
      <c r="E195">
        <f>IFERROR(VLOOKUP(B195,SumOfv8!$A$1:$H$200,4,),0)</f>
        <v>0</v>
      </c>
      <c r="F195">
        <f>IFERROR(VLOOKUP(B195,SumOfv8!$A$1:$H$200,5,),0)</f>
        <v>0</v>
      </c>
      <c r="G195">
        <f>IFERROR(VLOOKUP(B195,SumOfv8!$A$1:$H$200,6,),0)</f>
        <v>0</v>
      </c>
      <c r="H195">
        <f>IFERROR(VLOOKUP(B195,SumOfv8!$A$1:$H$200,7,),0)</f>
        <v>0</v>
      </c>
      <c r="I195">
        <f>IFERROR(VLOOKUP(B195,SumOfv8!$A$1:$H$200,8,),0)</f>
        <v>0</v>
      </c>
    </row>
    <row r="196" spans="1:9">
      <c r="A196" t="s">
        <v>188</v>
      </c>
      <c r="B196" s="1" t="s">
        <v>177</v>
      </c>
      <c r="C196">
        <f>IFERROR(VLOOKUP(B196,SumOfv8!$A$1:$H$200,2,),0)</f>
        <v>0</v>
      </c>
      <c r="D196">
        <f>IFERROR(VLOOKUP(B196,SumOfv8!$A$1:$H$200,3,),0)</f>
        <v>0</v>
      </c>
      <c r="E196">
        <f>IFERROR(VLOOKUP(B196,SumOfv8!$A$1:$H$200,4,),0)</f>
        <v>0</v>
      </c>
      <c r="F196" s="6">
        <f>IFERROR(VLOOKUP(B196,SumOfv8!$A$1:$H$200,5,),0)</f>
        <v>0</v>
      </c>
      <c r="G196">
        <f>IFERROR(VLOOKUP(B196,SumOfv8!$A$1:$H$200,6,),0)</f>
        <v>0</v>
      </c>
      <c r="H196" s="6">
        <f>IFERROR(VLOOKUP(B196,SumOfv8!$A$1:$H$200,7,),0)</f>
        <v>0</v>
      </c>
      <c r="I196">
        <f>IFERROR(VLOOKUP(B196,SumOfv8!$A$1:$H$200,8,),0)</f>
        <v>0</v>
      </c>
    </row>
    <row r="197" spans="1:9">
      <c r="A197" t="s">
        <v>188</v>
      </c>
      <c r="B197" s="1" t="s">
        <v>178</v>
      </c>
      <c r="C197">
        <f>IFERROR(VLOOKUP(B197,SumOfv8!$A$1:$H$200,2,),0)</f>
        <v>0</v>
      </c>
      <c r="D197">
        <f>IFERROR(VLOOKUP(B197,SumOfv8!$A$1:$H$200,3,),0)</f>
        <v>0</v>
      </c>
      <c r="E197">
        <f>IFERROR(VLOOKUP(B197,SumOfv8!$A$1:$H$200,4,),0)</f>
        <v>0</v>
      </c>
      <c r="F197">
        <f>IFERROR(VLOOKUP(B197,SumOfv8!$A$1:$H$200,5,),0)</f>
        <v>0</v>
      </c>
      <c r="G197">
        <f>IFERROR(VLOOKUP(B197,SumOfv8!$A$1:$H$200,6,),0)</f>
        <v>0</v>
      </c>
      <c r="H197">
        <f>IFERROR(VLOOKUP(B197,SumOfv8!$A$1:$H$200,7,),0)</f>
        <v>0</v>
      </c>
      <c r="I197">
        <f>IFERROR(VLOOKUP(B197,SumOfv8!$A$1:$H$200,8,),0)</f>
        <v>0</v>
      </c>
    </row>
    <row r="198" spans="1:9">
      <c r="A198" t="s">
        <v>201</v>
      </c>
      <c r="B198" s="1" t="s">
        <v>179</v>
      </c>
      <c r="C198">
        <f>IFERROR(VLOOKUP(B198,SumOfv8!$A$1:$H$200,2,),0)</f>
        <v>0</v>
      </c>
      <c r="D198">
        <f>IFERROR(VLOOKUP(B198,SumOfv8!$A$1:$H$200,3,),0)</f>
        <v>0</v>
      </c>
      <c r="E198">
        <f>IFERROR(VLOOKUP(B198,SumOfv8!$A$1:$H$200,4,),0)</f>
        <v>0</v>
      </c>
      <c r="F198" s="6">
        <f>IFERROR(VLOOKUP(B198,SumOfv8!$A$1:$H$200,5,),0)</f>
        <v>0</v>
      </c>
      <c r="G198">
        <f>IFERROR(VLOOKUP(B198,SumOfv8!$A$1:$H$200,6,),0)</f>
        <v>0</v>
      </c>
      <c r="H198" s="6">
        <f>IFERROR(VLOOKUP(B198,SumOfv8!$A$1:$H$200,7,),0)</f>
        <v>0</v>
      </c>
      <c r="I198">
        <f>IFERROR(VLOOKUP(B198,SumOfv8!$A$1:$H$200,8,),0)</f>
        <v>0</v>
      </c>
    </row>
    <row r="199" spans="1:9">
      <c r="A199" t="s">
        <v>201</v>
      </c>
      <c r="B199" s="1" t="s">
        <v>180</v>
      </c>
      <c r="C199">
        <f>IFERROR(VLOOKUP(B199,SumOfv8!$A$1:$H$200,2,),0)</f>
        <v>0</v>
      </c>
      <c r="D199">
        <f>IFERROR(VLOOKUP(B199,SumOfv8!$A$1:$H$200,3,),0)</f>
        <v>0</v>
      </c>
      <c r="E199">
        <f>IFERROR(VLOOKUP(B199,SumOfv8!$A$1:$H$200,4,),0)</f>
        <v>0</v>
      </c>
      <c r="F199">
        <f>IFERROR(VLOOKUP(B199,SumOfv8!$A$1:$H$200,5,),0)</f>
        <v>0</v>
      </c>
      <c r="G199">
        <f>IFERROR(VLOOKUP(B199,SumOfv8!$A$1:$H$200,6,),0)</f>
        <v>0</v>
      </c>
      <c r="H199">
        <f>IFERROR(VLOOKUP(B199,SumOfv8!$A$1:$H$200,7,),0)</f>
        <v>0</v>
      </c>
      <c r="I199">
        <f>IFERROR(VLOOKUP(B199,SumOfv8!$A$1:$H$200,8,),0)</f>
        <v>0</v>
      </c>
    </row>
    <row r="200" spans="1:9">
      <c r="A200" t="s">
        <v>201</v>
      </c>
      <c r="B200" s="1" t="s">
        <v>181</v>
      </c>
      <c r="C200">
        <f>IFERROR(VLOOKUP(B200,SumOfv8!$A$1:$H$200,2,),0)</f>
        <v>0</v>
      </c>
      <c r="D200">
        <f>IFERROR(VLOOKUP(B200,SumOfv8!$A$1:$H$200,3,),0)</f>
        <v>0</v>
      </c>
      <c r="E200">
        <f>IFERROR(VLOOKUP(B200,SumOfv8!$A$1:$H$200,4,),0)</f>
        <v>0</v>
      </c>
      <c r="F200" s="6">
        <f>IFERROR(VLOOKUP(B200,SumOfv8!$A$1:$H$200,5,),0)</f>
        <v>0</v>
      </c>
      <c r="G200">
        <f>IFERROR(VLOOKUP(B200,SumOfv8!$A$1:$H$200,6,),0)</f>
        <v>0</v>
      </c>
      <c r="H200" s="6">
        <f>IFERROR(VLOOKUP(B200,SumOfv8!$A$1:$H$200,7,),0)</f>
        <v>0</v>
      </c>
      <c r="I200">
        <f>IFERROR(VLOOKUP(B200,SumOfv8!$A$1:$H$200,8,),0)</f>
        <v>0</v>
      </c>
    </row>
    <row r="201" spans="1:9">
      <c r="A201" t="s">
        <v>201</v>
      </c>
      <c r="B201" s="1" t="s">
        <v>182</v>
      </c>
      <c r="C201">
        <f>IFERROR(VLOOKUP(B201,SumOfv8!$A$1:$H$200,2,),0)</f>
        <v>0</v>
      </c>
      <c r="D201">
        <f>IFERROR(VLOOKUP(B201,SumOfv8!$A$1:$H$200,3,),0)</f>
        <v>0</v>
      </c>
      <c r="E201">
        <f>IFERROR(VLOOKUP(B201,SumOfv8!$A$1:$H$200,4,),0)</f>
        <v>0</v>
      </c>
      <c r="F201">
        <f>IFERROR(VLOOKUP(B201,SumOfv8!$A$1:$H$200,5,),0)</f>
        <v>0</v>
      </c>
      <c r="G201">
        <f>IFERROR(VLOOKUP(B201,SumOfv8!$A$1:$H$200,6,),0)</f>
        <v>0</v>
      </c>
      <c r="H201">
        <f>IFERROR(VLOOKUP(B201,SumOfv8!$A$1:$H$200,7,),0)</f>
        <v>0</v>
      </c>
      <c r="I201">
        <f>IFERROR(VLOOKUP(B201,SumOfv8!$A$1:$H$200,8,),0)</f>
        <v>0</v>
      </c>
    </row>
    <row r="202" spans="1:9">
      <c r="A202" t="s">
        <v>201</v>
      </c>
      <c r="B202" s="1" t="s">
        <v>183</v>
      </c>
      <c r="C202">
        <f>IFERROR(VLOOKUP(B202,SumOfv8!$A$1:$H$200,2,),0)</f>
        <v>0</v>
      </c>
      <c r="D202">
        <f>IFERROR(VLOOKUP(B202,SumOfv8!$A$1:$H$200,3,),0)</f>
        <v>0</v>
      </c>
      <c r="E202">
        <f>IFERROR(VLOOKUP(B202,SumOfv8!$A$1:$H$200,4,),0)</f>
        <v>0</v>
      </c>
      <c r="F202" s="6">
        <f>IFERROR(VLOOKUP(B202,SumOfv8!$A$1:$H$200,5,),0)</f>
        <v>0</v>
      </c>
      <c r="G202">
        <f>IFERROR(VLOOKUP(B202,SumOfv8!$A$1:$H$200,6,),0)</f>
        <v>0</v>
      </c>
      <c r="H202" s="6">
        <f>IFERROR(VLOOKUP(B202,SumOfv8!$A$1:$H$200,7,),0)</f>
        <v>0</v>
      </c>
      <c r="I202">
        <f>IFERROR(VLOOKUP(B202,SumOfv8!$A$1:$H$200,8,),0)</f>
        <v>0</v>
      </c>
    </row>
    <row r="203" spans="1:9">
      <c r="A203" t="s">
        <v>201</v>
      </c>
      <c r="B203" s="1" t="s">
        <v>184</v>
      </c>
      <c r="C203">
        <f>IFERROR(VLOOKUP(B203,SumOfv8!$A$1:$H$200,2,),0)</f>
        <v>0</v>
      </c>
      <c r="D203">
        <f>IFERROR(VLOOKUP(B203,SumOfv8!$A$1:$H$200,3,),0)</f>
        <v>0</v>
      </c>
      <c r="E203">
        <f>IFERROR(VLOOKUP(B203,SumOfv8!$A$1:$H$200,4,),0)</f>
        <v>0</v>
      </c>
      <c r="F203">
        <f>IFERROR(VLOOKUP(B203,SumOfv8!$A$1:$H$200,5,),0)</f>
        <v>0</v>
      </c>
      <c r="G203">
        <f>IFERROR(VLOOKUP(B203,SumOfv8!$A$1:$H$200,6,),0)</f>
        <v>0</v>
      </c>
      <c r="H203">
        <f>IFERROR(VLOOKUP(B203,SumOfv8!$A$1:$H$200,7,),0)</f>
        <v>0</v>
      </c>
      <c r="I203">
        <f>IFERROR(VLOOKUP(B203,SumOfv8!$A$1:$H$200,8,),0)</f>
        <v>0</v>
      </c>
    </row>
    <row r="204" spans="1:9">
      <c r="A204" t="s">
        <v>201</v>
      </c>
      <c r="B204" s="1" t="s">
        <v>228</v>
      </c>
      <c r="C204">
        <f>IFERROR(VLOOKUP(B204,SumOfv8!$A$1:$H$200,2,),0)</f>
        <v>0</v>
      </c>
      <c r="D204">
        <f>IFERROR(VLOOKUP(B204,SumOfv8!$A$1:$H$200,3,),0)</f>
        <v>0</v>
      </c>
      <c r="E204">
        <f>IFERROR(VLOOKUP(B204,SumOfv8!$A$1:$H$200,4,),0)</f>
        <v>0</v>
      </c>
      <c r="F204" s="6">
        <f>IFERROR(VLOOKUP(B204,SumOfv8!$A$1:$H$200,5,),0)</f>
        <v>0</v>
      </c>
      <c r="G204">
        <f>IFERROR(VLOOKUP(B204,SumOfv8!$A$1:$H$200,6,),0)</f>
        <v>0</v>
      </c>
      <c r="H204" s="6">
        <f>IFERROR(VLOOKUP(B204,SumOfv8!$A$1:$H$200,7,),0)</f>
        <v>0</v>
      </c>
      <c r="I204">
        <f>IFERROR(VLOOKUP(B204,SumOfv8!$A$1:$H$200,8,),0)</f>
        <v>0</v>
      </c>
    </row>
    <row r="205" spans="1:9">
      <c r="A205" t="s">
        <v>201</v>
      </c>
      <c r="B205" s="1" t="s">
        <v>229</v>
      </c>
      <c r="C205">
        <f>IFERROR(VLOOKUP(B205,SumOfv8!$A$1:$H$200,2,),0)</f>
        <v>0</v>
      </c>
      <c r="D205">
        <f>IFERROR(VLOOKUP(B205,SumOfv8!$A$1:$H$200,3,),0)</f>
        <v>0</v>
      </c>
      <c r="E205">
        <f>IFERROR(VLOOKUP(B205,SumOfv8!$A$1:$H$200,4,),0)</f>
        <v>0</v>
      </c>
      <c r="F205">
        <f>IFERROR(VLOOKUP(B205,SumOfv8!$A$1:$H$200,5,),0)</f>
        <v>0</v>
      </c>
      <c r="G205">
        <f>IFERROR(VLOOKUP(B205,SumOfv8!$A$1:$H$200,6,),0)</f>
        <v>0</v>
      </c>
      <c r="H205">
        <f>IFERROR(VLOOKUP(B205,SumOfv8!$A$1:$H$200,7,),0)</f>
        <v>0</v>
      </c>
      <c r="I205">
        <f>IFERROR(VLOOKUP(B205,SumOfv8!$A$1:$H$200,8,),0)</f>
        <v>0</v>
      </c>
    </row>
    <row r="206" spans="1:9">
      <c r="A206" t="s">
        <v>201</v>
      </c>
      <c r="B206" s="1" t="s">
        <v>230</v>
      </c>
      <c r="C206">
        <f>IFERROR(VLOOKUP(B206,SumOfv8!$A$1:$H$200,2,),0)</f>
        <v>0</v>
      </c>
      <c r="D206">
        <f>IFERROR(VLOOKUP(B206,SumOfv8!$A$1:$H$200,3,),0)</f>
        <v>0</v>
      </c>
      <c r="E206">
        <f>IFERROR(VLOOKUP(B206,SumOfv8!$A$1:$H$200,4,),0)</f>
        <v>0</v>
      </c>
      <c r="F206" s="6">
        <f>IFERROR(VLOOKUP(B206,SumOfv8!$A$1:$H$200,5,),0)</f>
        <v>0</v>
      </c>
      <c r="G206">
        <f>IFERROR(VLOOKUP(B206,SumOfv8!$A$1:$H$200,6,),0)</f>
        <v>0</v>
      </c>
      <c r="H206" s="6">
        <f>IFERROR(VLOOKUP(B206,SumOfv8!$A$1:$H$200,7,),0)</f>
        <v>0</v>
      </c>
      <c r="I206">
        <f>IFERROR(VLOOKUP(B206,SumOfv8!$A$1:$H$200,8,),0)</f>
        <v>0</v>
      </c>
    </row>
    <row r="207" spans="1:9">
      <c r="A207" t="s">
        <v>188</v>
      </c>
      <c r="B207" s="1" t="s">
        <v>231</v>
      </c>
      <c r="C207">
        <f>IFERROR(VLOOKUP(B207,SumOfv8!$A$1:$H$200,2,),0)</f>
        <v>0</v>
      </c>
      <c r="D207">
        <f>IFERROR(VLOOKUP(B207,SumOfv8!$A$1:$H$200,3,),0)</f>
        <v>0</v>
      </c>
      <c r="E207">
        <f>IFERROR(VLOOKUP(B207,SumOfv8!$A$1:$H$200,4,),0)</f>
        <v>0</v>
      </c>
      <c r="F207">
        <f>IFERROR(VLOOKUP(B207,SumOfv8!$A$1:$H$200,5,),0)</f>
        <v>0</v>
      </c>
      <c r="G207">
        <f>IFERROR(VLOOKUP(B207,SumOfv8!$A$1:$H$200,6,),0)</f>
        <v>0</v>
      </c>
      <c r="H207">
        <f>IFERROR(VLOOKUP(B207,SumOfv8!$A$1:$H$200,7,),0)</f>
        <v>0</v>
      </c>
      <c r="I207">
        <f>IFERROR(VLOOKUP(B207,SumOfv8!$A$1:$H$200,8,),0)</f>
        <v>0</v>
      </c>
    </row>
    <row r="208" spans="1:9">
      <c r="A208" t="s">
        <v>201</v>
      </c>
      <c r="B208" s="1" t="s">
        <v>232</v>
      </c>
      <c r="C208">
        <f>IFERROR(VLOOKUP(B208,SumOfv8!$A$1:$H$200,2,),0)</f>
        <v>0</v>
      </c>
      <c r="D208">
        <f>IFERROR(VLOOKUP(B208,SumOfv8!$A$1:$H$200,3,),0)</f>
        <v>0</v>
      </c>
      <c r="E208">
        <f>IFERROR(VLOOKUP(B208,SumOfv8!$A$1:$H$200,4,),0)</f>
        <v>0</v>
      </c>
      <c r="F208" s="6">
        <f>IFERROR(VLOOKUP(B208,SumOfv8!$A$1:$H$200,5,),0)</f>
        <v>0</v>
      </c>
      <c r="G208">
        <f>IFERROR(VLOOKUP(B208,SumOfv8!$A$1:$H$200,6,),0)</f>
        <v>0</v>
      </c>
      <c r="H208" s="6">
        <f>IFERROR(VLOOKUP(B208,SumOfv8!$A$1:$H$200,7,),0)</f>
        <v>0</v>
      </c>
      <c r="I208">
        <f>IFERROR(VLOOKUP(B208,SumOfv8!$A$1:$H$200,8,),0)</f>
        <v>0</v>
      </c>
    </row>
    <row r="209" spans="1:9">
      <c r="A209" s="10" t="s">
        <v>204</v>
      </c>
      <c r="B209" s="10"/>
      <c r="C209" s="10">
        <f t="shared" ref="C209:I209" si="0">SUM(C2:C208)</f>
        <v>0</v>
      </c>
      <c r="D209" s="10">
        <f t="shared" si="0"/>
        <v>0</v>
      </c>
      <c r="E209" s="10">
        <f t="shared" si="0"/>
        <v>0</v>
      </c>
      <c r="F209" s="10">
        <f t="shared" si="0"/>
        <v>0</v>
      </c>
      <c r="G209" s="10">
        <f t="shared" si="0"/>
        <v>0</v>
      </c>
      <c r="H209" s="10">
        <f t="shared" si="0"/>
        <v>0</v>
      </c>
      <c r="I209" s="10">
        <f t="shared" si="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J2"/>
  <sheetViews>
    <sheetView tabSelected="1" workbookViewId="0">
      <selection sqref="A1:J1"/>
    </sheetView>
  </sheetViews>
  <sheetFormatPr defaultRowHeight="15"/>
  <cols>
    <col min="1" max="1" width="50.85546875" bestFit="1" customWidth="1"/>
    <col min="2" max="2" width="36.42578125" bestFit="1" customWidth="1"/>
    <col min="3" max="3" width="19.85546875" bestFit="1" customWidth="1"/>
    <col min="4" max="4" width="8.28515625" bestFit="1" customWidth="1"/>
    <col min="5" max="5" width="11.42578125" bestFit="1" customWidth="1"/>
    <col min="6" max="6" width="9" bestFit="1" customWidth="1"/>
    <col min="7" max="7" width="6.42578125" bestFit="1" customWidth="1"/>
    <col min="8" max="8" width="8.7109375" bestFit="1" customWidth="1"/>
    <col min="9" max="9" width="7.42578125" bestFit="1" customWidth="1"/>
    <col min="10" max="10" width="9" bestFit="1" customWidth="1"/>
  </cols>
  <sheetData>
    <row r="1" spans="1:10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sqref="A1:XFD1048576"/>
    </sheetView>
  </sheetViews>
  <sheetFormatPr defaultRowHeight="15"/>
  <cols>
    <col min="1" max="1" width="53.28515625" bestFit="1" customWidth="1"/>
    <col min="2" max="2" width="8.28515625" bestFit="1" customWidth="1"/>
    <col min="3" max="3" width="11.42578125" bestFit="1" customWidth="1"/>
    <col min="4" max="4" width="9" bestFit="1" customWidth="1"/>
    <col min="5" max="5" width="6.42578125" bestFit="1" customWidth="1"/>
    <col min="6" max="6" width="8.7109375" bestFit="1" customWidth="1"/>
    <col min="7" max="7" width="7.42578125" bestFit="1" customWidth="1"/>
    <col min="8" max="8" width="8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sqref="A1:XFD1048576"/>
    </sheetView>
  </sheetViews>
  <sheetFormatPr defaultRowHeight="15"/>
  <cols>
    <col min="1" max="1" width="50.85546875" bestFit="1" customWidth="1"/>
    <col min="2" max="2" width="8.28515625" bestFit="1" customWidth="1"/>
    <col min="3" max="3" width="11.42578125" bestFit="1" customWidth="1"/>
    <col min="4" max="4" width="9" bestFit="1" customWidth="1"/>
    <col min="5" max="5" width="6.42578125" bestFit="1" customWidth="1"/>
    <col min="6" max="6" width="8.7109375" bestFit="1" customWidth="1"/>
    <col min="7" max="7" width="7.42578125" bestFit="1" customWidth="1"/>
    <col min="8" max="8" width="9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3:H178"/>
  <sheetViews>
    <sheetView workbookViewId="0"/>
  </sheetViews>
  <sheetFormatPr defaultRowHeight="15"/>
  <cols>
    <col min="1" max="1" width="50.85546875" bestFit="1" customWidth="1"/>
    <col min="2" max="2" width="15" bestFit="1" customWidth="1"/>
    <col min="3" max="3" width="18.42578125" bestFit="1" customWidth="1"/>
    <col min="4" max="4" width="15.7109375" bestFit="1" customWidth="1"/>
    <col min="5" max="5" width="13.140625" bestFit="1" customWidth="1"/>
    <col min="6" max="6" width="15.42578125" bestFit="1" customWidth="1"/>
    <col min="7" max="7" width="14.140625" bestFit="1" customWidth="1"/>
    <col min="8" max="8" width="15.85546875" bestFit="1" customWidth="1"/>
  </cols>
  <sheetData>
    <row r="3" spans="1:8">
      <c r="A3" s="1"/>
      <c r="B3" s="2"/>
      <c r="C3" s="2"/>
      <c r="D3" s="2"/>
      <c r="E3" s="2"/>
      <c r="F3" s="2"/>
      <c r="G3" s="2"/>
      <c r="H3" s="2"/>
    </row>
    <row r="4" spans="1:8">
      <c r="A4" s="1"/>
      <c r="B4" s="2"/>
      <c r="C4" s="2"/>
      <c r="D4" s="2"/>
      <c r="E4" s="2"/>
      <c r="F4" s="2"/>
      <c r="G4" s="2"/>
      <c r="H4" s="2"/>
    </row>
    <row r="5" spans="1:8">
      <c r="A5" s="1"/>
      <c r="B5" s="2"/>
      <c r="C5" s="2"/>
      <c r="D5" s="2"/>
      <c r="E5" s="2"/>
      <c r="F5" s="2"/>
      <c r="G5" s="2"/>
      <c r="H5" s="2"/>
    </row>
    <row r="6" spans="1:8">
      <c r="A6" s="1"/>
      <c r="B6" s="2"/>
      <c r="C6" s="2"/>
      <c r="D6" s="2"/>
      <c r="E6" s="2"/>
      <c r="F6" s="2"/>
      <c r="G6" s="2"/>
      <c r="H6" s="2"/>
    </row>
    <row r="7" spans="1:8">
      <c r="A7" s="1"/>
      <c r="B7" s="2"/>
      <c r="C7" s="2"/>
      <c r="D7" s="2"/>
      <c r="E7" s="2"/>
      <c r="F7" s="2"/>
      <c r="G7" s="2"/>
      <c r="H7" s="2"/>
    </row>
    <row r="8" spans="1:8">
      <c r="A8" s="1"/>
      <c r="B8" s="2"/>
      <c r="C8" s="2"/>
      <c r="D8" s="2"/>
      <c r="E8" s="2"/>
      <c r="F8" s="2"/>
      <c r="G8" s="2"/>
      <c r="H8" s="2"/>
    </row>
    <row r="9" spans="1:8">
      <c r="A9" s="1"/>
      <c r="B9" s="2"/>
      <c r="C9" s="2"/>
      <c r="D9" s="2"/>
      <c r="E9" s="2"/>
      <c r="F9" s="2"/>
      <c r="G9" s="2"/>
      <c r="H9" s="2"/>
    </row>
    <row r="10" spans="1:8">
      <c r="A10" s="1"/>
      <c r="B10" s="2"/>
      <c r="C10" s="2"/>
      <c r="D10" s="2"/>
      <c r="E10" s="2"/>
      <c r="F10" s="2"/>
      <c r="G10" s="2"/>
      <c r="H10" s="2"/>
    </row>
    <row r="11" spans="1:8">
      <c r="A11" s="1"/>
      <c r="B11" s="2"/>
      <c r="C11" s="2"/>
      <c r="D11" s="2"/>
      <c r="E11" s="2"/>
      <c r="F11" s="2"/>
      <c r="G11" s="2"/>
      <c r="H11" s="2"/>
    </row>
    <row r="12" spans="1:8">
      <c r="A12" s="1"/>
      <c r="B12" s="2"/>
      <c r="C12" s="2"/>
      <c r="D12" s="2"/>
      <c r="E12" s="2"/>
      <c r="F12" s="2"/>
      <c r="G12" s="2"/>
      <c r="H12" s="2"/>
    </row>
    <row r="13" spans="1:8">
      <c r="A13" s="1"/>
      <c r="B13" s="2"/>
      <c r="C13" s="2"/>
      <c r="D13" s="2"/>
      <c r="E13" s="2"/>
      <c r="F13" s="2"/>
      <c r="G13" s="2"/>
      <c r="H13" s="2"/>
    </row>
    <row r="14" spans="1:8">
      <c r="A14" s="1"/>
      <c r="B14" s="2"/>
      <c r="C14" s="2"/>
      <c r="D14" s="2"/>
      <c r="E14" s="2"/>
      <c r="F14" s="2"/>
      <c r="G14" s="2"/>
      <c r="H14" s="2"/>
    </row>
    <row r="15" spans="1:8">
      <c r="A15" s="1"/>
      <c r="B15" s="2"/>
      <c r="C15" s="2"/>
      <c r="D15" s="2"/>
      <c r="E15" s="2"/>
      <c r="F15" s="2"/>
      <c r="G15" s="2"/>
      <c r="H15" s="2"/>
    </row>
    <row r="16" spans="1:8">
      <c r="A16" s="1"/>
      <c r="B16" s="2"/>
      <c r="C16" s="2"/>
      <c r="D16" s="2"/>
      <c r="E16" s="2"/>
      <c r="F16" s="2"/>
      <c r="G16" s="2"/>
      <c r="H16" s="2"/>
    </row>
    <row r="17" spans="1:8">
      <c r="A17" s="1"/>
      <c r="B17" s="2"/>
      <c r="C17" s="2"/>
      <c r="D17" s="2"/>
      <c r="E17" s="2"/>
      <c r="F17" s="2"/>
      <c r="G17" s="2"/>
      <c r="H17" s="2"/>
    </row>
    <row r="18" spans="1:8">
      <c r="A18" s="1"/>
      <c r="B18" s="2"/>
      <c r="C18" s="2"/>
      <c r="D18" s="2"/>
      <c r="E18" s="2"/>
      <c r="F18" s="2"/>
      <c r="G18" s="2"/>
      <c r="H18" s="2"/>
    </row>
    <row r="19" spans="1:8">
      <c r="A19" s="1"/>
      <c r="B19" s="2"/>
      <c r="C19" s="2"/>
      <c r="D19" s="2"/>
      <c r="E19" s="2"/>
      <c r="F19" s="2"/>
      <c r="G19" s="2"/>
      <c r="H19" s="2"/>
    </row>
    <row r="20" spans="1:8">
      <c r="A20" s="1"/>
      <c r="B20" s="2"/>
      <c r="C20" s="2"/>
      <c r="D20" s="2"/>
      <c r="E20" s="2"/>
      <c r="F20" s="2"/>
      <c r="G20" s="2"/>
      <c r="H20" s="2"/>
    </row>
    <row r="21" spans="1:8">
      <c r="A21" s="1"/>
      <c r="B21" s="2"/>
      <c r="C21" s="2"/>
      <c r="D21" s="2"/>
      <c r="E21" s="2"/>
      <c r="F21" s="2"/>
      <c r="G21" s="2"/>
      <c r="H21" s="2"/>
    </row>
    <row r="22" spans="1:8">
      <c r="A22" s="1"/>
      <c r="B22" s="2"/>
      <c r="C22" s="2"/>
      <c r="D22" s="2"/>
      <c r="E22" s="2"/>
      <c r="F22" s="2"/>
      <c r="G22" s="2"/>
      <c r="H22" s="2"/>
    </row>
    <row r="23" spans="1:8">
      <c r="A23" s="1"/>
      <c r="B23" s="2"/>
      <c r="C23" s="2"/>
      <c r="D23" s="2"/>
      <c r="E23" s="2"/>
      <c r="F23" s="2"/>
      <c r="G23" s="2"/>
      <c r="H23" s="2"/>
    </row>
    <row r="24" spans="1:8">
      <c r="A24" s="1"/>
      <c r="B24" s="2"/>
      <c r="C24" s="2"/>
      <c r="D24" s="2"/>
      <c r="E24" s="2"/>
      <c r="F24" s="2"/>
      <c r="G24" s="2"/>
      <c r="H24" s="2"/>
    </row>
    <row r="25" spans="1:8">
      <c r="A25" s="1"/>
      <c r="B25" s="2"/>
      <c r="C25" s="2"/>
      <c r="D25" s="2"/>
      <c r="E25" s="2"/>
      <c r="F25" s="2"/>
      <c r="G25" s="2"/>
      <c r="H25" s="2"/>
    </row>
    <row r="26" spans="1:8">
      <c r="A26" s="1"/>
      <c r="B26" s="2"/>
      <c r="C26" s="2"/>
      <c r="D26" s="2"/>
      <c r="E26" s="2"/>
      <c r="F26" s="2"/>
      <c r="G26" s="2"/>
      <c r="H26" s="2"/>
    </row>
    <row r="27" spans="1:8">
      <c r="A27" s="1"/>
      <c r="B27" s="2"/>
      <c r="C27" s="2"/>
      <c r="D27" s="2"/>
      <c r="E27" s="2"/>
      <c r="F27" s="2"/>
      <c r="G27" s="2"/>
      <c r="H27" s="2"/>
    </row>
    <row r="28" spans="1:8">
      <c r="A28" s="1"/>
      <c r="B28" s="2"/>
      <c r="C28" s="2"/>
      <c r="D28" s="2"/>
      <c r="E28" s="2"/>
      <c r="F28" s="2"/>
      <c r="G28" s="2"/>
      <c r="H28" s="2"/>
    </row>
    <row r="29" spans="1:8">
      <c r="A29" s="1"/>
      <c r="B29" s="2"/>
      <c r="C29" s="2"/>
      <c r="D29" s="2"/>
      <c r="E29" s="2"/>
      <c r="F29" s="2"/>
      <c r="G29" s="2"/>
      <c r="H29" s="2"/>
    </row>
    <row r="30" spans="1:8">
      <c r="A30" s="1"/>
      <c r="B30" s="2"/>
      <c r="C30" s="2"/>
      <c r="D30" s="2"/>
      <c r="E30" s="2"/>
      <c r="F30" s="2"/>
      <c r="G30" s="2"/>
      <c r="H30" s="2"/>
    </row>
    <row r="31" spans="1:8">
      <c r="A31" s="1"/>
      <c r="B31" s="2"/>
      <c r="C31" s="2"/>
      <c r="D31" s="2"/>
      <c r="E31" s="2"/>
      <c r="F31" s="2"/>
      <c r="G31" s="2"/>
      <c r="H31" s="2"/>
    </row>
    <row r="32" spans="1:8">
      <c r="A32" s="1"/>
      <c r="B32" s="2"/>
      <c r="C32" s="2"/>
      <c r="D32" s="2"/>
      <c r="E32" s="2"/>
      <c r="F32" s="2"/>
      <c r="G32" s="2"/>
      <c r="H32" s="2"/>
    </row>
    <row r="33" spans="1:8">
      <c r="A33" s="1"/>
      <c r="B33" s="2"/>
      <c r="C33" s="2"/>
      <c r="D33" s="2"/>
      <c r="E33" s="2"/>
      <c r="F33" s="2"/>
      <c r="G33" s="2"/>
      <c r="H33" s="2"/>
    </row>
    <row r="34" spans="1:8">
      <c r="A34" s="1"/>
      <c r="B34" s="2"/>
      <c r="C34" s="2"/>
      <c r="D34" s="2"/>
      <c r="E34" s="2"/>
      <c r="F34" s="2"/>
      <c r="G34" s="2"/>
      <c r="H34" s="2"/>
    </row>
    <row r="35" spans="1:8">
      <c r="A35" s="1"/>
      <c r="B35" s="2"/>
      <c r="C35" s="2"/>
      <c r="D35" s="2"/>
      <c r="E35" s="2"/>
      <c r="F35" s="2"/>
      <c r="G35" s="2"/>
      <c r="H35" s="2"/>
    </row>
    <row r="36" spans="1:8">
      <c r="A36" s="1"/>
      <c r="B36" s="2"/>
      <c r="C36" s="2"/>
      <c r="D36" s="2"/>
      <c r="E36" s="2"/>
      <c r="F36" s="2"/>
      <c r="G36" s="2"/>
      <c r="H36" s="2"/>
    </row>
    <row r="37" spans="1:8">
      <c r="A37" s="1"/>
      <c r="B37" s="2"/>
      <c r="C37" s="2"/>
      <c r="D37" s="2"/>
      <c r="E37" s="2"/>
      <c r="F37" s="2"/>
      <c r="G37" s="2"/>
      <c r="H37" s="2"/>
    </row>
    <row r="38" spans="1:8">
      <c r="A38" s="1"/>
      <c r="B38" s="2"/>
      <c r="C38" s="2"/>
      <c r="D38" s="2"/>
      <c r="E38" s="2"/>
      <c r="F38" s="2"/>
      <c r="G38" s="2"/>
      <c r="H38" s="2"/>
    </row>
    <row r="39" spans="1:8">
      <c r="A39" s="1"/>
      <c r="B39" s="2"/>
      <c r="C39" s="2"/>
      <c r="D39" s="2"/>
      <c r="E39" s="2"/>
      <c r="F39" s="2"/>
      <c r="G39" s="2"/>
      <c r="H39" s="2"/>
    </row>
    <row r="40" spans="1:8">
      <c r="A40" s="1"/>
      <c r="B40" s="2"/>
      <c r="C40" s="2"/>
      <c r="D40" s="2"/>
      <c r="E40" s="2"/>
      <c r="F40" s="2"/>
      <c r="G40" s="2"/>
      <c r="H40" s="2"/>
    </row>
    <row r="41" spans="1:8">
      <c r="A41" s="1"/>
      <c r="B41" s="2"/>
      <c r="C41" s="2"/>
      <c r="D41" s="2"/>
      <c r="E41" s="2"/>
      <c r="F41" s="2"/>
      <c r="G41" s="2"/>
      <c r="H41" s="2"/>
    </row>
    <row r="42" spans="1:8">
      <c r="A42" s="1"/>
      <c r="B42" s="2"/>
      <c r="C42" s="2"/>
      <c r="D42" s="2"/>
      <c r="E42" s="2"/>
      <c r="F42" s="2"/>
      <c r="G42" s="2"/>
      <c r="H42" s="2"/>
    </row>
    <row r="43" spans="1:8">
      <c r="A43" s="1"/>
      <c r="B43" s="2"/>
      <c r="C43" s="2"/>
      <c r="D43" s="2"/>
      <c r="E43" s="2"/>
      <c r="F43" s="2"/>
      <c r="G43" s="2"/>
      <c r="H43" s="2"/>
    </row>
    <row r="44" spans="1:8">
      <c r="A44" s="1"/>
      <c r="B44" s="2"/>
      <c r="C44" s="2"/>
      <c r="D44" s="2"/>
      <c r="E44" s="2"/>
      <c r="F44" s="2"/>
      <c r="G44" s="2"/>
      <c r="H44" s="2"/>
    </row>
    <row r="45" spans="1:8">
      <c r="A45" s="1"/>
      <c r="B45" s="2"/>
      <c r="C45" s="2"/>
      <c r="D45" s="2"/>
      <c r="E45" s="2"/>
      <c r="F45" s="2"/>
      <c r="G45" s="2"/>
      <c r="H45" s="2"/>
    </row>
    <row r="46" spans="1:8">
      <c r="A46" s="1"/>
      <c r="B46" s="2"/>
      <c r="C46" s="2"/>
      <c r="D46" s="2"/>
      <c r="E46" s="2"/>
      <c r="F46" s="2"/>
      <c r="G46" s="2"/>
      <c r="H46" s="2"/>
    </row>
    <row r="47" spans="1:8">
      <c r="A47" s="1"/>
      <c r="B47" s="2"/>
      <c r="C47" s="2"/>
      <c r="D47" s="2"/>
      <c r="E47" s="2"/>
      <c r="F47" s="2"/>
      <c r="G47" s="2"/>
      <c r="H47" s="2"/>
    </row>
    <row r="48" spans="1:8">
      <c r="A48" s="1"/>
      <c r="B48" s="2"/>
      <c r="C48" s="2"/>
      <c r="D48" s="2"/>
      <c r="E48" s="2"/>
      <c r="F48" s="2"/>
      <c r="G48" s="2"/>
      <c r="H48" s="2"/>
    </row>
    <row r="49" spans="1:8">
      <c r="A49" s="1"/>
      <c r="B49" s="2"/>
      <c r="C49" s="2"/>
      <c r="D49" s="2"/>
      <c r="E49" s="2"/>
      <c r="F49" s="2"/>
      <c r="G49" s="2"/>
      <c r="H49" s="2"/>
    </row>
    <row r="50" spans="1:8">
      <c r="A50" s="1"/>
      <c r="B50" s="2"/>
      <c r="C50" s="2"/>
      <c r="D50" s="2"/>
      <c r="E50" s="2"/>
      <c r="F50" s="2"/>
      <c r="G50" s="2"/>
      <c r="H50" s="2"/>
    </row>
    <row r="51" spans="1:8">
      <c r="A51" s="1"/>
      <c r="B51" s="2"/>
      <c r="C51" s="2"/>
      <c r="D51" s="2"/>
      <c r="E51" s="2"/>
      <c r="F51" s="2"/>
      <c r="G51" s="2"/>
      <c r="H51" s="2"/>
    </row>
    <row r="52" spans="1:8">
      <c r="A52" s="1"/>
      <c r="B52" s="2"/>
      <c r="C52" s="2"/>
      <c r="D52" s="2"/>
      <c r="E52" s="2"/>
      <c r="F52" s="2"/>
      <c r="G52" s="2"/>
      <c r="H52" s="2"/>
    </row>
    <row r="53" spans="1:8">
      <c r="A53" s="1"/>
      <c r="B53" s="2"/>
      <c r="C53" s="2"/>
      <c r="D53" s="2"/>
      <c r="E53" s="2"/>
      <c r="F53" s="2"/>
      <c r="G53" s="2"/>
      <c r="H53" s="2"/>
    </row>
    <row r="54" spans="1:8">
      <c r="A54" s="1"/>
      <c r="B54" s="2"/>
      <c r="C54" s="2"/>
      <c r="D54" s="2"/>
      <c r="E54" s="2"/>
      <c r="F54" s="2"/>
      <c r="G54" s="2"/>
      <c r="H54" s="2"/>
    </row>
    <row r="55" spans="1:8">
      <c r="A55" s="1"/>
      <c r="B55" s="2"/>
      <c r="C55" s="2"/>
      <c r="D55" s="2"/>
      <c r="E55" s="2"/>
      <c r="F55" s="2"/>
      <c r="G55" s="2"/>
      <c r="H55" s="2"/>
    </row>
    <row r="56" spans="1:8">
      <c r="A56" s="1"/>
      <c r="B56" s="2"/>
      <c r="C56" s="2"/>
      <c r="D56" s="2"/>
      <c r="E56" s="2"/>
      <c r="F56" s="2"/>
      <c r="G56" s="2"/>
      <c r="H56" s="2"/>
    </row>
    <row r="57" spans="1:8">
      <c r="A57" s="1"/>
      <c r="B57" s="2"/>
      <c r="C57" s="2"/>
      <c r="D57" s="2"/>
      <c r="E57" s="2"/>
      <c r="F57" s="2"/>
      <c r="G57" s="2"/>
      <c r="H57" s="2"/>
    </row>
    <row r="58" spans="1:8">
      <c r="A58" s="1"/>
      <c r="B58" s="2"/>
      <c r="C58" s="2"/>
      <c r="D58" s="2"/>
      <c r="E58" s="2"/>
      <c r="F58" s="2"/>
      <c r="G58" s="2"/>
      <c r="H58" s="2"/>
    </row>
    <row r="59" spans="1:8">
      <c r="A59" s="1"/>
      <c r="B59" s="2"/>
      <c r="C59" s="2"/>
      <c r="D59" s="2"/>
      <c r="E59" s="2"/>
      <c r="F59" s="2"/>
      <c r="G59" s="2"/>
      <c r="H59" s="2"/>
    </row>
    <row r="60" spans="1:8">
      <c r="A60" s="1"/>
      <c r="B60" s="2"/>
      <c r="C60" s="2"/>
      <c r="D60" s="2"/>
      <c r="E60" s="2"/>
      <c r="F60" s="2"/>
      <c r="G60" s="2"/>
      <c r="H60" s="2"/>
    </row>
    <row r="61" spans="1:8">
      <c r="A61" s="1"/>
      <c r="B61" s="2"/>
      <c r="C61" s="2"/>
      <c r="D61" s="2"/>
      <c r="E61" s="2"/>
      <c r="F61" s="2"/>
      <c r="G61" s="2"/>
      <c r="H61" s="2"/>
    </row>
    <row r="62" spans="1:8">
      <c r="A62" s="1"/>
      <c r="B62" s="2"/>
      <c r="C62" s="2"/>
      <c r="D62" s="2"/>
      <c r="E62" s="2"/>
      <c r="F62" s="2"/>
      <c r="G62" s="2"/>
      <c r="H62" s="2"/>
    </row>
    <row r="63" spans="1:8">
      <c r="A63" s="1"/>
      <c r="B63" s="2"/>
      <c r="C63" s="2"/>
      <c r="D63" s="2"/>
      <c r="E63" s="2"/>
      <c r="F63" s="2"/>
      <c r="G63" s="2"/>
      <c r="H63" s="2"/>
    </row>
    <row r="64" spans="1:8">
      <c r="A64" s="1"/>
      <c r="B64" s="2"/>
      <c r="C64" s="2"/>
      <c r="D64" s="2"/>
      <c r="E64" s="2"/>
      <c r="F64" s="2"/>
      <c r="G64" s="2"/>
      <c r="H64" s="2"/>
    </row>
    <row r="65" spans="1:8">
      <c r="A65" s="1"/>
      <c r="B65" s="2"/>
      <c r="C65" s="2"/>
      <c r="D65" s="2"/>
      <c r="E65" s="2"/>
      <c r="F65" s="2"/>
      <c r="G65" s="2"/>
      <c r="H65" s="2"/>
    </row>
    <row r="66" spans="1:8">
      <c r="A66" s="1"/>
      <c r="B66" s="2"/>
      <c r="C66" s="2"/>
      <c r="D66" s="2"/>
      <c r="E66" s="2"/>
      <c r="F66" s="2"/>
      <c r="G66" s="2"/>
      <c r="H66" s="2"/>
    </row>
    <row r="67" spans="1:8">
      <c r="A67" s="1"/>
      <c r="B67" s="2"/>
      <c r="C67" s="2"/>
      <c r="D67" s="2"/>
      <c r="E67" s="2"/>
      <c r="F67" s="2"/>
      <c r="G67" s="2"/>
      <c r="H67" s="2"/>
    </row>
    <row r="68" spans="1:8">
      <c r="A68" s="1"/>
      <c r="B68" s="2"/>
      <c r="C68" s="2"/>
      <c r="D68" s="2"/>
      <c r="E68" s="2"/>
      <c r="F68" s="2"/>
      <c r="G68" s="2"/>
      <c r="H68" s="2"/>
    </row>
    <row r="69" spans="1:8">
      <c r="A69" s="1"/>
      <c r="B69" s="2"/>
      <c r="C69" s="2"/>
      <c r="D69" s="2"/>
      <c r="E69" s="2"/>
      <c r="F69" s="2"/>
      <c r="G69" s="2"/>
      <c r="H69" s="2"/>
    </row>
    <row r="70" spans="1:8">
      <c r="A70" s="1"/>
      <c r="B70" s="2"/>
      <c r="C70" s="2"/>
      <c r="D70" s="2"/>
      <c r="E70" s="2"/>
      <c r="F70" s="2"/>
      <c r="G70" s="2"/>
      <c r="H70" s="2"/>
    </row>
    <row r="71" spans="1:8">
      <c r="A71" s="1"/>
      <c r="B71" s="2"/>
      <c r="C71" s="2"/>
      <c r="D71" s="2"/>
      <c r="E71" s="2"/>
      <c r="F71" s="2"/>
      <c r="G71" s="2"/>
      <c r="H71" s="2"/>
    </row>
    <row r="72" spans="1:8">
      <c r="A72" s="1"/>
      <c r="B72" s="2"/>
      <c r="C72" s="2"/>
      <c r="D72" s="2"/>
      <c r="E72" s="2"/>
      <c r="F72" s="2"/>
      <c r="G72" s="2"/>
      <c r="H72" s="2"/>
    </row>
    <row r="73" spans="1:8">
      <c r="A73" s="1"/>
      <c r="B73" s="2"/>
      <c r="C73" s="2"/>
      <c r="D73" s="2"/>
      <c r="E73" s="2"/>
      <c r="F73" s="2"/>
      <c r="G73" s="2"/>
      <c r="H73" s="2"/>
    </row>
    <row r="74" spans="1:8">
      <c r="A74" s="1"/>
      <c r="B74" s="2"/>
      <c r="C74" s="2"/>
      <c r="D74" s="2"/>
      <c r="E74" s="2"/>
      <c r="F74" s="2"/>
      <c r="G74" s="2"/>
      <c r="H74" s="2"/>
    </row>
    <row r="75" spans="1:8">
      <c r="A75" s="1"/>
      <c r="B75" s="2"/>
      <c r="C75" s="2"/>
      <c r="D75" s="2"/>
      <c r="E75" s="2"/>
      <c r="F75" s="2"/>
      <c r="G75" s="2"/>
      <c r="H75" s="2"/>
    </row>
    <row r="76" spans="1:8">
      <c r="A76" s="1"/>
      <c r="B76" s="2"/>
      <c r="C76" s="2"/>
      <c r="D76" s="2"/>
      <c r="E76" s="2"/>
      <c r="F76" s="2"/>
      <c r="G76" s="2"/>
      <c r="H76" s="2"/>
    </row>
    <row r="77" spans="1:8">
      <c r="A77" s="1"/>
      <c r="B77" s="2"/>
      <c r="C77" s="2"/>
      <c r="D77" s="2"/>
      <c r="E77" s="2"/>
      <c r="F77" s="2"/>
      <c r="G77" s="2"/>
      <c r="H77" s="2"/>
    </row>
    <row r="78" spans="1:8">
      <c r="A78" s="1"/>
      <c r="B78" s="2"/>
      <c r="C78" s="2"/>
      <c r="D78" s="2"/>
      <c r="E78" s="2"/>
      <c r="F78" s="2"/>
      <c r="G78" s="2"/>
      <c r="H78" s="2"/>
    </row>
    <row r="79" spans="1:8">
      <c r="A79" s="1"/>
      <c r="B79" s="2"/>
      <c r="C79" s="2"/>
      <c r="D79" s="2"/>
      <c r="E79" s="2"/>
      <c r="F79" s="2"/>
      <c r="G79" s="2"/>
      <c r="H79" s="2"/>
    </row>
    <row r="80" spans="1:8">
      <c r="A80" s="1"/>
      <c r="B80" s="2"/>
      <c r="C80" s="2"/>
      <c r="D80" s="2"/>
      <c r="E80" s="2"/>
      <c r="F80" s="2"/>
      <c r="G80" s="2"/>
      <c r="H80" s="2"/>
    </row>
    <row r="81" spans="1:8">
      <c r="A81" s="1"/>
      <c r="B81" s="2"/>
      <c r="C81" s="2"/>
      <c r="D81" s="2"/>
      <c r="E81" s="2"/>
      <c r="F81" s="2"/>
      <c r="G81" s="2"/>
      <c r="H81" s="2"/>
    </row>
    <row r="82" spans="1:8">
      <c r="A82" s="1"/>
      <c r="B82" s="2"/>
      <c r="C82" s="2"/>
      <c r="D82" s="2"/>
      <c r="E82" s="2"/>
      <c r="F82" s="2"/>
      <c r="G82" s="2"/>
      <c r="H82" s="2"/>
    </row>
    <row r="83" spans="1:8">
      <c r="A83" s="1"/>
      <c r="B83" s="2"/>
      <c r="C83" s="2"/>
      <c r="D83" s="2"/>
      <c r="E83" s="2"/>
      <c r="F83" s="2"/>
      <c r="G83" s="2"/>
      <c r="H83" s="2"/>
    </row>
    <row r="84" spans="1:8">
      <c r="A84" s="1"/>
      <c r="B84" s="2"/>
      <c r="C84" s="2"/>
      <c r="D84" s="2"/>
      <c r="E84" s="2"/>
      <c r="F84" s="2"/>
      <c r="G84" s="2"/>
      <c r="H84" s="2"/>
    </row>
    <row r="85" spans="1:8">
      <c r="A85" s="1"/>
      <c r="B85" s="2"/>
      <c r="C85" s="2"/>
      <c r="D85" s="2"/>
      <c r="E85" s="2"/>
      <c r="F85" s="2"/>
      <c r="G85" s="2"/>
      <c r="H85" s="2"/>
    </row>
    <row r="86" spans="1:8">
      <c r="A86" s="1"/>
      <c r="B86" s="2"/>
      <c r="C86" s="2"/>
      <c r="D86" s="2"/>
      <c r="E86" s="2"/>
      <c r="F86" s="2"/>
      <c r="G86" s="2"/>
      <c r="H86" s="2"/>
    </row>
    <row r="87" spans="1:8">
      <c r="A87" s="1"/>
      <c r="B87" s="2"/>
      <c r="C87" s="2"/>
      <c r="D87" s="2"/>
      <c r="E87" s="2"/>
      <c r="F87" s="2"/>
      <c r="G87" s="2"/>
      <c r="H87" s="2"/>
    </row>
    <row r="88" spans="1:8">
      <c r="A88" s="1"/>
      <c r="B88" s="2"/>
      <c r="C88" s="2"/>
      <c r="D88" s="2"/>
      <c r="E88" s="2"/>
      <c r="F88" s="2"/>
      <c r="G88" s="2"/>
      <c r="H88" s="2"/>
    </row>
    <row r="89" spans="1:8">
      <c r="A89" s="1"/>
      <c r="B89" s="2"/>
      <c r="C89" s="2"/>
      <c r="D89" s="2"/>
      <c r="E89" s="2"/>
      <c r="F89" s="2"/>
      <c r="G89" s="2"/>
      <c r="H89" s="2"/>
    </row>
    <row r="90" spans="1:8">
      <c r="A90" s="1"/>
      <c r="B90" s="2"/>
      <c r="C90" s="2"/>
      <c r="D90" s="2"/>
      <c r="E90" s="2"/>
      <c r="F90" s="2"/>
      <c r="G90" s="2"/>
      <c r="H90" s="2"/>
    </row>
    <row r="91" spans="1:8">
      <c r="A91" s="1"/>
      <c r="B91" s="2"/>
      <c r="C91" s="2"/>
      <c r="D91" s="2"/>
      <c r="E91" s="2"/>
      <c r="F91" s="2"/>
      <c r="G91" s="2"/>
      <c r="H91" s="2"/>
    </row>
    <row r="92" spans="1:8">
      <c r="A92" s="1"/>
      <c r="B92" s="2"/>
      <c r="C92" s="2"/>
      <c r="D92" s="2"/>
      <c r="E92" s="2"/>
      <c r="F92" s="2"/>
      <c r="G92" s="2"/>
      <c r="H92" s="2"/>
    </row>
    <row r="93" spans="1:8">
      <c r="A93" s="1"/>
      <c r="B93" s="2"/>
      <c r="C93" s="2"/>
      <c r="D93" s="2"/>
      <c r="E93" s="2"/>
      <c r="F93" s="2"/>
      <c r="G93" s="2"/>
      <c r="H93" s="2"/>
    </row>
    <row r="94" spans="1:8">
      <c r="A94" s="1"/>
      <c r="B94" s="2"/>
      <c r="C94" s="2"/>
      <c r="D94" s="2"/>
      <c r="E94" s="2"/>
      <c r="F94" s="2"/>
      <c r="G94" s="2"/>
      <c r="H94" s="2"/>
    </row>
    <row r="95" spans="1:8">
      <c r="A95" s="1"/>
      <c r="B95" s="2"/>
      <c r="C95" s="2"/>
      <c r="D95" s="2"/>
      <c r="E95" s="2"/>
      <c r="F95" s="2"/>
      <c r="G95" s="2"/>
      <c r="H95" s="2"/>
    </row>
    <row r="96" spans="1:8">
      <c r="A96" s="1"/>
      <c r="B96" s="2"/>
      <c r="C96" s="2"/>
      <c r="D96" s="2"/>
      <c r="E96" s="2"/>
      <c r="F96" s="2"/>
      <c r="G96" s="2"/>
      <c r="H96" s="2"/>
    </row>
    <row r="97" spans="1:8">
      <c r="A97" s="1"/>
      <c r="B97" s="2"/>
      <c r="C97" s="2"/>
      <c r="D97" s="2"/>
      <c r="E97" s="2"/>
      <c r="F97" s="2"/>
      <c r="G97" s="2"/>
      <c r="H97" s="2"/>
    </row>
    <row r="98" spans="1:8">
      <c r="A98" s="1"/>
      <c r="B98" s="2"/>
      <c r="C98" s="2"/>
      <c r="D98" s="2"/>
      <c r="E98" s="2"/>
      <c r="F98" s="2"/>
      <c r="G98" s="2"/>
      <c r="H98" s="2"/>
    </row>
    <row r="99" spans="1:8">
      <c r="A99" s="1"/>
      <c r="B99" s="2"/>
      <c r="C99" s="2"/>
      <c r="D99" s="2"/>
      <c r="E99" s="2"/>
      <c r="F99" s="2"/>
      <c r="G99" s="2"/>
      <c r="H99" s="2"/>
    </row>
    <row r="100" spans="1:8">
      <c r="A100" s="1"/>
      <c r="B100" s="2"/>
      <c r="C100" s="2"/>
      <c r="D100" s="2"/>
      <c r="E100" s="2"/>
      <c r="F100" s="2"/>
      <c r="G100" s="2"/>
      <c r="H100" s="2"/>
    </row>
    <row r="101" spans="1:8">
      <c r="A101" s="1"/>
      <c r="B101" s="2"/>
      <c r="C101" s="2"/>
      <c r="D101" s="2"/>
      <c r="E101" s="2"/>
      <c r="F101" s="2"/>
      <c r="G101" s="2"/>
      <c r="H101" s="2"/>
    </row>
    <row r="102" spans="1:8">
      <c r="A102" s="1"/>
      <c r="B102" s="2"/>
      <c r="C102" s="2"/>
      <c r="D102" s="2"/>
      <c r="E102" s="2"/>
      <c r="F102" s="2"/>
      <c r="G102" s="2"/>
      <c r="H102" s="2"/>
    </row>
    <row r="103" spans="1:8">
      <c r="A103" s="1"/>
      <c r="B103" s="2"/>
      <c r="C103" s="2"/>
      <c r="D103" s="2"/>
      <c r="E103" s="2"/>
      <c r="F103" s="2"/>
      <c r="G103" s="2"/>
      <c r="H103" s="2"/>
    </row>
    <row r="104" spans="1:8">
      <c r="A104" s="1"/>
      <c r="B104" s="2"/>
      <c r="C104" s="2"/>
      <c r="D104" s="2"/>
      <c r="E104" s="2"/>
      <c r="F104" s="2"/>
      <c r="G104" s="2"/>
      <c r="H104" s="2"/>
    </row>
    <row r="105" spans="1:8">
      <c r="A105" s="1"/>
      <c r="B105" s="2"/>
      <c r="C105" s="2"/>
      <c r="D105" s="2"/>
      <c r="E105" s="2"/>
      <c r="F105" s="2"/>
      <c r="G105" s="2"/>
      <c r="H105" s="2"/>
    </row>
    <row r="106" spans="1:8">
      <c r="A106" s="1"/>
      <c r="B106" s="2"/>
      <c r="C106" s="2"/>
      <c r="D106" s="2"/>
      <c r="E106" s="2"/>
      <c r="F106" s="2"/>
      <c r="G106" s="2"/>
      <c r="H106" s="2"/>
    </row>
    <row r="107" spans="1:8">
      <c r="A107" s="1"/>
      <c r="B107" s="2"/>
      <c r="C107" s="2"/>
      <c r="D107" s="2"/>
      <c r="E107" s="2"/>
      <c r="F107" s="2"/>
      <c r="G107" s="2"/>
      <c r="H107" s="2"/>
    </row>
    <row r="108" spans="1:8">
      <c r="A108" s="1"/>
      <c r="B108" s="2"/>
      <c r="C108" s="2"/>
      <c r="D108" s="2"/>
      <c r="E108" s="2"/>
      <c r="F108" s="2"/>
      <c r="G108" s="2"/>
      <c r="H108" s="2"/>
    </row>
    <row r="109" spans="1:8">
      <c r="A109" s="1"/>
      <c r="B109" s="2"/>
      <c r="C109" s="2"/>
      <c r="D109" s="2"/>
      <c r="E109" s="2"/>
      <c r="F109" s="2"/>
      <c r="G109" s="2"/>
      <c r="H109" s="2"/>
    </row>
    <row r="110" spans="1:8">
      <c r="A110" s="1"/>
      <c r="B110" s="2"/>
      <c r="C110" s="2"/>
      <c r="D110" s="2"/>
      <c r="E110" s="2"/>
      <c r="F110" s="2"/>
      <c r="G110" s="2"/>
      <c r="H110" s="2"/>
    </row>
    <row r="111" spans="1:8">
      <c r="A111" s="1"/>
      <c r="B111" s="2"/>
      <c r="C111" s="2"/>
      <c r="D111" s="2"/>
      <c r="E111" s="2"/>
      <c r="F111" s="2"/>
      <c r="G111" s="2"/>
      <c r="H111" s="2"/>
    </row>
    <row r="112" spans="1:8">
      <c r="A112" s="1"/>
      <c r="B112" s="2"/>
      <c r="C112" s="2"/>
      <c r="D112" s="2"/>
      <c r="E112" s="2"/>
      <c r="F112" s="2"/>
      <c r="G112" s="2"/>
      <c r="H112" s="2"/>
    </row>
    <row r="113" spans="1:8">
      <c r="A113" s="1"/>
      <c r="B113" s="2"/>
      <c r="C113" s="2"/>
      <c r="D113" s="2"/>
      <c r="E113" s="2"/>
      <c r="F113" s="2"/>
      <c r="G113" s="2"/>
      <c r="H113" s="2"/>
    </row>
    <row r="114" spans="1:8">
      <c r="A114" s="1"/>
      <c r="B114" s="2"/>
      <c r="C114" s="2"/>
      <c r="D114" s="2"/>
      <c r="E114" s="2"/>
      <c r="F114" s="2"/>
      <c r="G114" s="2"/>
      <c r="H114" s="2"/>
    </row>
    <row r="115" spans="1:8">
      <c r="A115" s="1"/>
      <c r="B115" s="2"/>
      <c r="C115" s="2"/>
      <c r="D115" s="2"/>
      <c r="E115" s="2"/>
      <c r="F115" s="2"/>
      <c r="G115" s="2"/>
      <c r="H115" s="2"/>
    </row>
    <row r="116" spans="1:8">
      <c r="A116" s="1"/>
      <c r="B116" s="2"/>
      <c r="C116" s="2"/>
      <c r="D116" s="2"/>
      <c r="E116" s="2"/>
      <c r="F116" s="2"/>
      <c r="G116" s="2"/>
      <c r="H116" s="2"/>
    </row>
    <row r="117" spans="1:8">
      <c r="A117" s="1"/>
      <c r="B117" s="2"/>
      <c r="C117" s="2"/>
      <c r="D117" s="2"/>
      <c r="E117" s="2"/>
      <c r="F117" s="2"/>
      <c r="G117" s="2"/>
      <c r="H117" s="2"/>
    </row>
    <row r="118" spans="1:8">
      <c r="A118" s="1"/>
      <c r="B118" s="2"/>
      <c r="C118" s="2"/>
      <c r="D118" s="2"/>
      <c r="E118" s="2"/>
      <c r="F118" s="2"/>
      <c r="G118" s="2"/>
      <c r="H118" s="2"/>
    </row>
    <row r="119" spans="1:8">
      <c r="A119" s="1"/>
      <c r="B119" s="2"/>
      <c r="C119" s="2"/>
      <c r="D119" s="2"/>
      <c r="E119" s="2"/>
      <c r="F119" s="2"/>
      <c r="G119" s="2"/>
      <c r="H119" s="2"/>
    </row>
    <row r="120" spans="1:8">
      <c r="A120" s="1"/>
      <c r="B120" s="2"/>
      <c r="C120" s="2"/>
      <c r="D120" s="2"/>
      <c r="E120" s="2"/>
      <c r="F120" s="2"/>
      <c r="G120" s="2"/>
      <c r="H120" s="2"/>
    </row>
    <row r="121" spans="1:8">
      <c r="A121" s="1"/>
      <c r="B121" s="2"/>
      <c r="C121" s="2"/>
      <c r="D121" s="2"/>
      <c r="E121" s="2"/>
      <c r="F121" s="2"/>
      <c r="G121" s="2"/>
      <c r="H121" s="2"/>
    </row>
    <row r="122" spans="1:8">
      <c r="A122" s="1"/>
      <c r="B122" s="2"/>
      <c r="C122" s="2"/>
      <c r="D122" s="2"/>
      <c r="E122" s="2"/>
      <c r="F122" s="2"/>
      <c r="G122" s="2"/>
      <c r="H122" s="2"/>
    </row>
    <row r="123" spans="1:8">
      <c r="A123" s="1"/>
      <c r="B123" s="2"/>
      <c r="C123" s="2"/>
      <c r="D123" s="2"/>
      <c r="E123" s="2"/>
      <c r="F123" s="2"/>
      <c r="G123" s="2"/>
      <c r="H123" s="2"/>
    </row>
    <row r="124" spans="1:8">
      <c r="A124" s="1"/>
      <c r="B124" s="2"/>
      <c r="C124" s="2"/>
      <c r="D124" s="2"/>
      <c r="E124" s="2"/>
      <c r="F124" s="2"/>
      <c r="G124" s="2"/>
      <c r="H124" s="2"/>
    </row>
    <row r="125" spans="1:8">
      <c r="A125" s="1"/>
      <c r="B125" s="2"/>
      <c r="C125" s="2"/>
      <c r="D125" s="2"/>
      <c r="E125" s="2"/>
      <c r="F125" s="2"/>
      <c r="G125" s="2"/>
      <c r="H125" s="2"/>
    </row>
    <row r="126" spans="1:8">
      <c r="A126" s="1"/>
      <c r="B126" s="2"/>
      <c r="C126" s="2"/>
      <c r="D126" s="2"/>
      <c r="E126" s="2"/>
      <c r="F126" s="2"/>
      <c r="G126" s="2"/>
      <c r="H126" s="2"/>
    </row>
    <row r="127" spans="1:8">
      <c r="A127" s="1"/>
      <c r="B127" s="2"/>
      <c r="C127" s="2"/>
      <c r="D127" s="2"/>
      <c r="E127" s="2"/>
      <c r="F127" s="2"/>
      <c r="G127" s="2"/>
      <c r="H127" s="2"/>
    </row>
    <row r="128" spans="1:8">
      <c r="A128" s="1"/>
      <c r="B128" s="2"/>
      <c r="C128" s="2"/>
      <c r="D128" s="2"/>
      <c r="E128" s="2"/>
      <c r="F128" s="2"/>
      <c r="G128" s="2"/>
      <c r="H128" s="2"/>
    </row>
    <row r="129" spans="1:8">
      <c r="A129" s="1"/>
      <c r="B129" s="2"/>
      <c r="C129" s="2"/>
      <c r="D129" s="2"/>
      <c r="E129" s="2"/>
      <c r="F129" s="2"/>
      <c r="G129" s="2"/>
      <c r="H129" s="2"/>
    </row>
    <row r="130" spans="1:8">
      <c r="A130" s="1"/>
      <c r="B130" s="2"/>
      <c r="C130" s="2"/>
      <c r="D130" s="2"/>
      <c r="E130" s="2"/>
      <c r="F130" s="2"/>
      <c r="G130" s="2"/>
      <c r="H130" s="2"/>
    </row>
    <row r="131" spans="1:8">
      <c r="A131" s="1"/>
      <c r="B131" s="2"/>
      <c r="C131" s="2"/>
      <c r="D131" s="2"/>
      <c r="E131" s="2"/>
      <c r="F131" s="2"/>
      <c r="G131" s="2"/>
      <c r="H131" s="2"/>
    </row>
    <row r="132" spans="1:8">
      <c r="A132" s="1"/>
      <c r="B132" s="2"/>
      <c r="C132" s="2"/>
      <c r="D132" s="2"/>
      <c r="E132" s="2"/>
      <c r="F132" s="2"/>
      <c r="G132" s="2"/>
      <c r="H132" s="2"/>
    </row>
    <row r="133" spans="1:8">
      <c r="A133" s="1"/>
      <c r="B133" s="2"/>
      <c r="C133" s="2"/>
      <c r="D133" s="2"/>
      <c r="E133" s="2"/>
      <c r="F133" s="2"/>
      <c r="G133" s="2"/>
      <c r="H133" s="2"/>
    </row>
    <row r="134" spans="1:8">
      <c r="A134" s="1"/>
      <c r="B134" s="2"/>
      <c r="C134" s="2"/>
      <c r="D134" s="2"/>
      <c r="E134" s="2"/>
      <c r="F134" s="2"/>
      <c r="G134" s="2"/>
      <c r="H134" s="2"/>
    </row>
    <row r="135" spans="1:8">
      <c r="A135" s="1"/>
      <c r="B135" s="2"/>
      <c r="C135" s="2"/>
      <c r="D135" s="2"/>
      <c r="E135" s="2"/>
      <c r="F135" s="2"/>
      <c r="G135" s="2"/>
      <c r="H135" s="2"/>
    </row>
    <row r="136" spans="1:8">
      <c r="A136" s="1"/>
      <c r="B136" s="2"/>
      <c r="C136" s="2"/>
      <c r="D136" s="2"/>
      <c r="E136" s="2"/>
      <c r="F136" s="2"/>
      <c r="G136" s="2"/>
      <c r="H136" s="2"/>
    </row>
    <row r="137" spans="1:8">
      <c r="A137" s="1"/>
      <c r="B137" s="2"/>
      <c r="C137" s="2"/>
      <c r="D137" s="2"/>
      <c r="E137" s="2"/>
      <c r="F137" s="2"/>
      <c r="G137" s="2"/>
      <c r="H137" s="2"/>
    </row>
    <row r="138" spans="1:8">
      <c r="A138" s="1"/>
      <c r="B138" s="2"/>
      <c r="C138" s="2"/>
      <c r="D138" s="2"/>
      <c r="E138" s="2"/>
      <c r="F138" s="2"/>
      <c r="G138" s="2"/>
      <c r="H138" s="2"/>
    </row>
    <row r="139" spans="1:8">
      <c r="A139" s="1"/>
      <c r="B139" s="2"/>
      <c r="C139" s="2"/>
      <c r="D139" s="2"/>
      <c r="E139" s="2"/>
      <c r="F139" s="2"/>
      <c r="G139" s="2"/>
      <c r="H139" s="2"/>
    </row>
    <row r="140" spans="1:8">
      <c r="A140" s="1"/>
      <c r="B140" s="2"/>
      <c r="C140" s="2"/>
      <c r="D140" s="2"/>
      <c r="E140" s="2"/>
      <c r="F140" s="2"/>
      <c r="G140" s="2"/>
      <c r="H140" s="2"/>
    </row>
    <row r="141" spans="1:8">
      <c r="A141" s="1"/>
      <c r="B141" s="2"/>
      <c r="C141" s="2"/>
      <c r="D141" s="2"/>
      <c r="E141" s="2"/>
      <c r="F141" s="2"/>
      <c r="G141" s="2"/>
      <c r="H141" s="2"/>
    </row>
    <row r="142" spans="1:8">
      <c r="A142" s="1"/>
      <c r="B142" s="2"/>
      <c r="C142" s="2"/>
      <c r="D142" s="2"/>
      <c r="E142" s="2"/>
      <c r="F142" s="2"/>
      <c r="G142" s="2"/>
      <c r="H142" s="2"/>
    </row>
    <row r="143" spans="1:8">
      <c r="A143" s="1"/>
      <c r="B143" s="2"/>
      <c r="C143" s="2"/>
      <c r="D143" s="2"/>
      <c r="E143" s="2"/>
      <c r="F143" s="2"/>
      <c r="G143" s="2"/>
      <c r="H143" s="2"/>
    </row>
    <row r="144" spans="1:8">
      <c r="A144" s="1"/>
      <c r="B144" s="2"/>
      <c r="C144" s="2"/>
      <c r="D144" s="2"/>
      <c r="E144" s="2"/>
      <c r="F144" s="2"/>
      <c r="G144" s="2"/>
      <c r="H144" s="2"/>
    </row>
    <row r="145" spans="1:8">
      <c r="A145" s="1"/>
      <c r="B145" s="2"/>
      <c r="C145" s="2"/>
      <c r="D145" s="2"/>
      <c r="E145" s="2"/>
      <c r="F145" s="2"/>
      <c r="G145" s="2"/>
      <c r="H145" s="2"/>
    </row>
    <row r="146" spans="1:8">
      <c r="A146" s="1"/>
      <c r="B146" s="2"/>
      <c r="C146" s="2"/>
      <c r="D146" s="2"/>
      <c r="E146" s="2"/>
      <c r="F146" s="2"/>
      <c r="G146" s="2"/>
      <c r="H146" s="2"/>
    </row>
    <row r="147" spans="1:8">
      <c r="A147" s="1"/>
      <c r="B147" s="2"/>
      <c r="C147" s="2"/>
      <c r="D147" s="2"/>
      <c r="E147" s="2"/>
      <c r="F147" s="2"/>
      <c r="G147" s="2"/>
      <c r="H147" s="2"/>
    </row>
    <row r="148" spans="1:8">
      <c r="A148" s="1"/>
      <c r="B148" s="2"/>
      <c r="C148" s="2"/>
      <c r="D148" s="2"/>
      <c r="E148" s="2"/>
      <c r="F148" s="2"/>
      <c r="G148" s="2"/>
      <c r="H148" s="2"/>
    </row>
    <row r="149" spans="1:8">
      <c r="A149" s="1"/>
      <c r="B149" s="2"/>
      <c r="C149" s="2"/>
      <c r="D149" s="2"/>
      <c r="E149" s="2"/>
      <c r="F149" s="2"/>
      <c r="G149" s="2"/>
      <c r="H149" s="2"/>
    </row>
    <row r="150" spans="1:8">
      <c r="A150" s="1"/>
      <c r="B150" s="2"/>
      <c r="C150" s="2"/>
      <c r="D150" s="2"/>
      <c r="E150" s="2"/>
      <c r="F150" s="2"/>
      <c r="G150" s="2"/>
      <c r="H150" s="2"/>
    </row>
    <row r="151" spans="1:8">
      <c r="A151" s="1"/>
      <c r="B151" s="2"/>
      <c r="C151" s="2"/>
      <c r="D151" s="2"/>
      <c r="E151" s="2"/>
      <c r="F151" s="2"/>
      <c r="G151" s="2"/>
      <c r="H151" s="2"/>
    </row>
    <row r="152" spans="1:8">
      <c r="A152" s="1"/>
      <c r="B152" s="2"/>
      <c r="C152" s="2"/>
      <c r="D152" s="2"/>
      <c r="E152" s="2"/>
      <c r="F152" s="2"/>
      <c r="G152" s="2"/>
      <c r="H152" s="2"/>
    </row>
    <row r="153" spans="1:8">
      <c r="A153" s="1"/>
      <c r="B153" s="2"/>
      <c r="C153" s="2"/>
      <c r="D153" s="2"/>
      <c r="E153" s="2"/>
      <c r="F153" s="2"/>
      <c r="G153" s="2"/>
      <c r="H153" s="2"/>
    </row>
    <row r="154" spans="1:8">
      <c r="A154" s="1"/>
      <c r="B154" s="2"/>
      <c r="C154" s="2"/>
      <c r="D154" s="2"/>
      <c r="E154" s="2"/>
      <c r="F154" s="2"/>
      <c r="G154" s="2"/>
      <c r="H154" s="2"/>
    </row>
    <row r="155" spans="1:8">
      <c r="A155" s="1"/>
      <c r="B155" s="2"/>
      <c r="C155" s="2"/>
      <c r="D155" s="2"/>
      <c r="E155" s="2"/>
      <c r="F155" s="2"/>
      <c r="G155" s="2"/>
      <c r="H155" s="2"/>
    </row>
    <row r="156" spans="1:8">
      <c r="A156" s="1"/>
      <c r="B156" s="2"/>
      <c r="C156" s="2"/>
      <c r="D156" s="2"/>
      <c r="E156" s="2"/>
      <c r="F156" s="2"/>
      <c r="G156" s="2"/>
      <c r="H156" s="2"/>
    </row>
    <row r="157" spans="1:8">
      <c r="A157" s="1"/>
      <c r="B157" s="2"/>
      <c r="C157" s="2"/>
      <c r="D157" s="2"/>
      <c r="E157" s="2"/>
      <c r="F157" s="2"/>
      <c r="G157" s="2"/>
      <c r="H157" s="2"/>
    </row>
    <row r="158" spans="1:8">
      <c r="A158" s="1"/>
      <c r="B158" s="2"/>
      <c r="C158" s="2"/>
      <c r="D158" s="2"/>
      <c r="E158" s="2"/>
      <c r="F158" s="2"/>
      <c r="G158" s="2"/>
      <c r="H158" s="2"/>
    </row>
    <row r="159" spans="1:8">
      <c r="A159" s="1"/>
      <c r="B159" s="2"/>
      <c r="C159" s="2"/>
      <c r="D159" s="2"/>
      <c r="E159" s="2"/>
      <c r="F159" s="2"/>
      <c r="G159" s="2"/>
      <c r="H159" s="2"/>
    </row>
    <row r="160" spans="1:8">
      <c r="A160" s="1"/>
      <c r="B160" s="2"/>
      <c r="C160" s="2"/>
      <c r="D160" s="2"/>
      <c r="E160" s="2"/>
      <c r="F160" s="2"/>
      <c r="G160" s="2"/>
      <c r="H160" s="2"/>
    </row>
    <row r="161" spans="1:8">
      <c r="A161" s="1"/>
      <c r="B161" s="2"/>
      <c r="C161" s="2"/>
      <c r="D161" s="2"/>
      <c r="E161" s="2"/>
      <c r="F161" s="2"/>
      <c r="G161" s="2"/>
      <c r="H161" s="2"/>
    </row>
    <row r="162" spans="1:8">
      <c r="A162" s="1"/>
      <c r="B162" s="2"/>
      <c r="C162" s="2"/>
      <c r="D162" s="2"/>
      <c r="E162" s="2"/>
      <c r="F162" s="2"/>
      <c r="G162" s="2"/>
      <c r="H162" s="2"/>
    </row>
    <row r="163" spans="1:8">
      <c r="A163" s="1"/>
      <c r="B163" s="2"/>
      <c r="C163" s="2"/>
      <c r="D163" s="2"/>
      <c r="E163" s="2"/>
      <c r="F163" s="2"/>
      <c r="G163" s="2"/>
      <c r="H163" s="2"/>
    </row>
    <row r="164" spans="1:8">
      <c r="A164" s="1"/>
      <c r="B164" s="2"/>
      <c r="C164" s="2"/>
      <c r="D164" s="2"/>
      <c r="E164" s="2"/>
      <c r="F164" s="2"/>
      <c r="G164" s="2"/>
      <c r="H164" s="2"/>
    </row>
    <row r="165" spans="1:8">
      <c r="A165" s="1"/>
      <c r="B165" s="2"/>
      <c r="C165" s="2"/>
      <c r="D165" s="2"/>
      <c r="E165" s="2"/>
      <c r="F165" s="2"/>
      <c r="G165" s="2"/>
      <c r="H165" s="2"/>
    </row>
    <row r="166" spans="1:8">
      <c r="A166" s="1"/>
      <c r="B166" s="2"/>
      <c r="C166" s="2"/>
      <c r="D166" s="2"/>
      <c r="E166" s="2"/>
      <c r="F166" s="2"/>
      <c r="G166" s="2"/>
      <c r="H166" s="2"/>
    </row>
    <row r="167" spans="1:8">
      <c r="A167" s="1"/>
      <c r="B167" s="2"/>
      <c r="C167" s="2"/>
      <c r="D167" s="2"/>
      <c r="E167" s="2"/>
      <c r="F167" s="2"/>
      <c r="G167" s="2"/>
      <c r="H167" s="2"/>
    </row>
    <row r="168" spans="1:8">
      <c r="A168" s="1"/>
      <c r="B168" s="2"/>
      <c r="C168" s="2"/>
      <c r="D168" s="2"/>
      <c r="E168" s="2"/>
      <c r="F168" s="2"/>
      <c r="G168" s="2"/>
      <c r="H168" s="2"/>
    </row>
    <row r="169" spans="1:8">
      <c r="A169" s="1"/>
      <c r="B169" s="2"/>
      <c r="C169" s="2"/>
      <c r="D169" s="2"/>
      <c r="E169" s="2"/>
      <c r="F169" s="2"/>
      <c r="G169" s="2"/>
      <c r="H169" s="2"/>
    </row>
    <row r="170" spans="1:8">
      <c r="A170" s="1"/>
      <c r="B170" s="2"/>
      <c r="C170" s="2"/>
      <c r="D170" s="2"/>
      <c r="E170" s="2"/>
      <c r="F170" s="2"/>
      <c r="G170" s="2"/>
      <c r="H170" s="2"/>
    </row>
    <row r="171" spans="1:8">
      <c r="A171" s="1"/>
      <c r="B171" s="2"/>
      <c r="C171" s="2"/>
      <c r="D171" s="2"/>
      <c r="E171" s="2"/>
      <c r="F171" s="2"/>
      <c r="G171" s="2"/>
      <c r="H171" s="2"/>
    </row>
    <row r="172" spans="1:8">
      <c r="A172" s="1"/>
      <c r="B172" s="2"/>
      <c r="C172" s="2"/>
      <c r="D172" s="2"/>
      <c r="E172" s="2"/>
      <c r="F172" s="2"/>
      <c r="G172" s="2"/>
      <c r="H172" s="2"/>
    </row>
    <row r="173" spans="1:8">
      <c r="A173" s="1"/>
      <c r="B173" s="2"/>
      <c r="C173" s="2"/>
      <c r="D173" s="2"/>
      <c r="E173" s="2"/>
      <c r="F173" s="2"/>
      <c r="G173" s="2"/>
      <c r="H173" s="2"/>
    </row>
    <row r="174" spans="1:8">
      <c r="A174" s="1"/>
      <c r="B174" s="2"/>
      <c r="C174" s="2"/>
      <c r="D174" s="2"/>
      <c r="E174" s="2"/>
      <c r="F174" s="2"/>
      <c r="G174" s="2"/>
      <c r="H174" s="2"/>
    </row>
    <row r="175" spans="1:8">
      <c r="A175" s="1"/>
      <c r="B175" s="2"/>
      <c r="C175" s="2"/>
      <c r="D175" s="2"/>
      <c r="E175" s="2"/>
      <c r="F175" s="2"/>
      <c r="G175" s="2"/>
      <c r="H175" s="2"/>
    </row>
    <row r="176" spans="1:8">
      <c r="A176" s="1"/>
      <c r="B176" s="2"/>
      <c r="C176" s="2"/>
      <c r="D176" s="2"/>
      <c r="E176" s="2"/>
      <c r="F176" s="2"/>
      <c r="G176" s="2"/>
      <c r="H176" s="2"/>
    </row>
    <row r="177" spans="1:8">
      <c r="A177" s="1"/>
      <c r="B177" s="2"/>
      <c r="C177" s="2"/>
      <c r="D177" s="2"/>
      <c r="E177" s="2"/>
      <c r="F177" s="2"/>
      <c r="G177" s="2"/>
      <c r="H177" s="2"/>
    </row>
    <row r="178" spans="1:8">
      <c r="A178" s="1"/>
      <c r="B178" s="2"/>
      <c r="C178" s="2"/>
      <c r="D178" s="2"/>
      <c r="E178" s="2"/>
      <c r="F178" s="2"/>
      <c r="G178" s="2"/>
      <c r="H17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Usage Report</vt:lpstr>
      <vt:lpstr>Domains</vt:lpstr>
      <vt:lpstr>ColOfCMDb</vt:lpstr>
      <vt:lpstr>v8</vt:lpstr>
      <vt:lpstr>Sheet3</vt:lpstr>
      <vt:lpstr>Sheet4</vt:lpstr>
      <vt:lpstr>SumOfv8</vt:lpstr>
      <vt:lpstr>Sheet1</vt:lpstr>
    </vt:vector>
  </TitlesOfParts>
  <Company>TOTAL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AL0423712</dc:creator>
  <cp:lastModifiedBy>AL0423712</cp:lastModifiedBy>
  <dcterms:created xsi:type="dcterms:W3CDTF">2015-08-10T10:17:39Z</dcterms:created>
  <dcterms:modified xsi:type="dcterms:W3CDTF">2016-04-18T10:24:47Z</dcterms:modified>
</cp:coreProperties>
</file>